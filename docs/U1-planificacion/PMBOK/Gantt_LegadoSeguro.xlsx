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2A502A6-D8F9-4F32-A9CB-204A18F66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18 semanas" sheetId="1" r:id="rId1"/>
    <sheet name="Detalle editable" sheetId="2" r:id="rId2"/>
    <sheet name="Criterios y alc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2" l="1"/>
  <c r="L37" i="2" s="1"/>
  <c r="G37" i="2"/>
  <c r="M36" i="2"/>
  <c r="L36" i="2"/>
  <c r="G36" i="2"/>
  <c r="M35" i="2"/>
  <c r="L35" i="2"/>
  <c r="G35" i="2"/>
  <c r="M34" i="2"/>
  <c r="L34" i="2"/>
  <c r="G34" i="2"/>
  <c r="M33" i="2"/>
  <c r="L33" i="2"/>
  <c r="G33" i="2"/>
  <c r="M32" i="2"/>
  <c r="L32" i="2"/>
  <c r="G32" i="2"/>
  <c r="M31" i="2"/>
  <c r="L31" i="2"/>
  <c r="G31" i="2"/>
  <c r="M30" i="2"/>
  <c r="L30" i="2"/>
  <c r="G30" i="2"/>
  <c r="M29" i="2"/>
  <c r="L29" i="2"/>
  <c r="G29" i="2"/>
  <c r="M28" i="2"/>
  <c r="L28" i="2"/>
  <c r="G28" i="2"/>
  <c r="M27" i="2"/>
  <c r="L27" i="2"/>
  <c r="G27" i="2"/>
  <c r="M26" i="2"/>
  <c r="L26" i="2"/>
  <c r="G26" i="2"/>
  <c r="M25" i="2"/>
  <c r="L25" i="2" s="1"/>
  <c r="G25" i="2"/>
  <c r="M24" i="2"/>
  <c r="L24" i="2"/>
  <c r="G24" i="2"/>
  <c r="M23" i="2"/>
  <c r="L23" i="2"/>
  <c r="G23" i="2"/>
  <c r="M22" i="2"/>
  <c r="L22" i="2"/>
  <c r="G22" i="2"/>
  <c r="M21" i="2"/>
  <c r="L21" i="2"/>
  <c r="G21" i="2"/>
  <c r="M20" i="2"/>
  <c r="L20" i="2"/>
  <c r="G20" i="2"/>
  <c r="M19" i="2"/>
  <c r="L19" i="2"/>
  <c r="G19" i="2"/>
  <c r="M18" i="2"/>
  <c r="L18" i="2"/>
  <c r="G18" i="2"/>
  <c r="M17" i="2"/>
  <c r="L17" i="2"/>
  <c r="G17" i="2"/>
  <c r="M16" i="2"/>
  <c r="L16" i="2"/>
  <c r="G16" i="2"/>
  <c r="M15" i="2"/>
  <c r="L15" i="2"/>
  <c r="G15" i="2"/>
  <c r="M14" i="2"/>
  <c r="L14" i="2"/>
  <c r="G14" i="2"/>
  <c r="M13" i="2"/>
  <c r="L13" i="2"/>
  <c r="G13" i="2"/>
  <c r="M12" i="2"/>
  <c r="L12" i="2"/>
  <c r="G12" i="2"/>
  <c r="M11" i="2"/>
  <c r="L11" i="2"/>
  <c r="G11" i="2"/>
  <c r="M10" i="2"/>
  <c r="L10" i="2"/>
  <c r="G10" i="2"/>
  <c r="M9" i="2"/>
  <c r="L9" i="2"/>
  <c r="G9" i="2"/>
  <c r="M8" i="2"/>
  <c r="L8" i="2"/>
  <c r="G8" i="2"/>
  <c r="M7" i="2"/>
  <c r="L7" i="2"/>
  <c r="G7" i="2"/>
  <c r="M6" i="2"/>
  <c r="L6" i="2"/>
  <c r="G6" i="2"/>
  <c r="M5" i="2"/>
  <c r="L5" i="2"/>
  <c r="G5" i="2"/>
  <c r="M4" i="2"/>
  <c r="L4" i="2"/>
  <c r="G4" i="2"/>
  <c r="J39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J27" i="1"/>
  <c r="F27" i="1"/>
  <c r="E27" i="1"/>
  <c r="T27" i="1" s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18" i="1"/>
  <c r="F18" i="1"/>
  <c r="E18" i="1"/>
  <c r="F17" i="1"/>
  <c r="E17" i="1"/>
  <c r="F16" i="1"/>
  <c r="E16" i="1"/>
  <c r="F15" i="1"/>
  <c r="E15" i="1"/>
  <c r="F14" i="1"/>
  <c r="E14" i="1"/>
  <c r="F13" i="1"/>
  <c r="E13" i="1"/>
  <c r="J12" i="1"/>
  <c r="F12" i="1"/>
  <c r="E12" i="1"/>
  <c r="F11" i="1"/>
  <c r="E11" i="1"/>
  <c r="F10" i="1"/>
  <c r="E10" i="1"/>
  <c r="AA10" i="1" s="1"/>
  <c r="F9" i="1"/>
  <c r="E9" i="1"/>
  <c r="F8" i="1"/>
  <c r="E8" i="1"/>
  <c r="F7" i="1"/>
  <c r="E7" i="1"/>
  <c r="F6" i="1"/>
  <c r="E6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U28" i="1" l="1"/>
  <c r="AB15" i="1"/>
  <c r="U12" i="1"/>
  <c r="AB34" i="1"/>
  <c r="AB22" i="1"/>
  <c r="T35" i="1"/>
  <c r="AB24" i="1"/>
  <c r="M31" i="1"/>
  <c r="AB38" i="1"/>
  <c r="AA6" i="1"/>
  <c r="T25" i="1"/>
  <c r="U32" i="1"/>
  <c r="O22" i="1"/>
  <c r="Q22" i="1"/>
  <c r="R6" i="1"/>
  <c r="R22" i="1"/>
  <c r="S6" i="1"/>
  <c r="M13" i="1"/>
  <c r="T20" i="1"/>
  <c r="U22" i="1"/>
  <c r="AB30" i="1"/>
  <c r="O32" i="1"/>
  <c r="T32" i="1"/>
  <c r="K35" i="1"/>
  <c r="L35" i="1"/>
  <c r="R30" i="1"/>
  <c r="Z35" i="1"/>
  <c r="N6" i="1"/>
  <c r="O6" i="1"/>
  <c r="S30" i="1"/>
  <c r="AA35" i="1"/>
  <c r="AB28" i="1"/>
  <c r="T30" i="1"/>
  <c r="AB35" i="1"/>
  <c r="G18" i="1"/>
  <c r="P6" i="1"/>
  <c r="Q6" i="1"/>
  <c r="U30" i="1"/>
  <c r="AB36" i="1"/>
  <c r="T6" i="1"/>
  <c r="U6" i="1"/>
  <c r="S22" i="1"/>
  <c r="T22" i="1"/>
  <c r="T29" i="1"/>
  <c r="T37" i="1"/>
  <c r="S17" i="1"/>
  <c r="AB32" i="1"/>
  <c r="G20" i="1"/>
  <c r="S38" i="1"/>
  <c r="T38" i="1"/>
  <c r="AA17" i="1"/>
  <c r="U20" i="1"/>
  <c r="Z25" i="1"/>
  <c r="U38" i="1"/>
  <c r="K17" i="1"/>
  <c r="G12" i="1"/>
  <c r="AA25" i="1"/>
  <c r="W25" i="1"/>
  <c r="K9" i="1"/>
  <c r="Q12" i="1"/>
  <c r="R12" i="1"/>
  <c r="T21" i="1"/>
  <c r="S12" i="1"/>
  <c r="T7" i="1"/>
  <c r="T12" i="1"/>
  <c r="G26" i="1"/>
  <c r="Z17" i="1"/>
  <c r="G16" i="1"/>
  <c r="U10" i="1"/>
  <c r="G30" i="1"/>
  <c r="Q32" i="1"/>
  <c r="T10" i="1"/>
  <c r="R32" i="1"/>
  <c r="G14" i="1"/>
  <c r="AA8" i="1"/>
  <c r="T11" i="1"/>
  <c r="Q30" i="1"/>
  <c r="S32" i="1"/>
  <c r="AB16" i="1"/>
  <c r="T19" i="1"/>
  <c r="G24" i="1"/>
  <c r="N14" i="1"/>
  <c r="G8" i="1"/>
  <c r="N24" i="1"/>
  <c r="K27" i="1"/>
  <c r="G34" i="1"/>
  <c r="K37" i="1"/>
  <c r="AA9" i="1"/>
  <c r="Q14" i="1"/>
  <c r="N16" i="1"/>
  <c r="K19" i="1"/>
  <c r="O24" i="1"/>
  <c r="Z27" i="1"/>
  <c r="L37" i="1"/>
  <c r="N8" i="1"/>
  <c r="R14" i="1"/>
  <c r="O16" i="1"/>
  <c r="L18" i="1"/>
  <c r="Z19" i="1"/>
  <c r="Q24" i="1"/>
  <c r="AB26" i="1"/>
  <c r="AA27" i="1"/>
  <c r="O34" i="1"/>
  <c r="Z37" i="1"/>
  <c r="T39" i="1"/>
  <c r="Z9" i="1"/>
  <c r="O8" i="1"/>
  <c r="R24" i="1"/>
  <c r="K29" i="1"/>
  <c r="Q34" i="1"/>
  <c r="AA37" i="1"/>
  <c r="AA19" i="1"/>
  <c r="P8" i="1"/>
  <c r="Z11" i="1"/>
  <c r="T14" i="1"/>
  <c r="K21" i="1"/>
  <c r="Z29" i="1"/>
  <c r="R34" i="1"/>
  <c r="G36" i="1"/>
  <c r="AB37" i="1"/>
  <c r="R16" i="1"/>
  <c r="S24" i="1"/>
  <c r="Q8" i="1"/>
  <c r="G10" i="1"/>
  <c r="AA11" i="1"/>
  <c r="U14" i="1"/>
  <c r="S16" i="1"/>
  <c r="N18" i="1"/>
  <c r="AB20" i="1"/>
  <c r="Z21" i="1"/>
  <c r="T23" i="1"/>
  <c r="T24" i="1"/>
  <c r="N26" i="1"/>
  <c r="G28" i="1"/>
  <c r="AA29" i="1"/>
  <c r="T33" i="1"/>
  <c r="S34" i="1"/>
  <c r="K39" i="1"/>
  <c r="O14" i="1"/>
  <c r="R8" i="1"/>
  <c r="T16" i="1"/>
  <c r="O18" i="1"/>
  <c r="AA21" i="1"/>
  <c r="U24" i="1"/>
  <c r="O26" i="1"/>
  <c r="K31" i="1"/>
  <c r="T34" i="1"/>
  <c r="O36" i="1"/>
  <c r="L39" i="1"/>
  <c r="S14" i="1"/>
  <c r="S8" i="1"/>
  <c r="N10" i="1"/>
  <c r="K13" i="1"/>
  <c r="U16" i="1"/>
  <c r="Q18" i="1"/>
  <c r="W24" i="1"/>
  <c r="Q26" i="1"/>
  <c r="N28" i="1"/>
  <c r="Z31" i="1"/>
  <c r="U34" i="1"/>
  <c r="Q36" i="1"/>
  <c r="AB39" i="1"/>
  <c r="T8" i="1"/>
  <c r="O10" i="1"/>
  <c r="AB12" i="1"/>
  <c r="Z13" i="1"/>
  <c r="R18" i="1"/>
  <c r="N20" i="1"/>
  <c r="K23" i="1"/>
  <c r="R26" i="1"/>
  <c r="O28" i="1"/>
  <c r="AA31" i="1"/>
  <c r="K33" i="1"/>
  <c r="R36" i="1"/>
  <c r="G38" i="1"/>
  <c r="U8" i="1"/>
  <c r="AA13" i="1"/>
  <c r="S18" i="1"/>
  <c r="O20" i="1"/>
  <c r="Z23" i="1"/>
  <c r="S26" i="1"/>
  <c r="Q28" i="1"/>
  <c r="L33" i="1"/>
  <c r="S36" i="1"/>
  <c r="Q16" i="1"/>
  <c r="T18" i="1"/>
  <c r="Q20" i="1"/>
  <c r="G22" i="1"/>
  <c r="AA23" i="1"/>
  <c r="T26" i="1"/>
  <c r="R28" i="1"/>
  <c r="W33" i="1"/>
  <c r="T36" i="1"/>
  <c r="O38" i="1"/>
  <c r="K11" i="1"/>
  <c r="K7" i="1"/>
  <c r="Q10" i="1"/>
  <c r="K15" i="1"/>
  <c r="G6" i="1"/>
  <c r="Z7" i="1"/>
  <c r="R10" i="1"/>
  <c r="N12" i="1"/>
  <c r="Z15" i="1"/>
  <c r="U18" i="1"/>
  <c r="R20" i="1"/>
  <c r="U26" i="1"/>
  <c r="S28" i="1"/>
  <c r="N30" i="1"/>
  <c r="G32" i="1"/>
  <c r="Z33" i="1"/>
  <c r="U36" i="1"/>
  <c r="Q38" i="1"/>
  <c r="P10" i="1"/>
  <c r="AA7" i="1"/>
  <c r="T9" i="1"/>
  <c r="S10" i="1"/>
  <c r="O12" i="1"/>
  <c r="AB14" i="1"/>
  <c r="AA15" i="1"/>
  <c r="S20" i="1"/>
  <c r="N22" i="1"/>
  <c r="K25" i="1"/>
  <c r="T28" i="1"/>
  <c r="O30" i="1"/>
  <c r="AA33" i="1"/>
  <c r="R38" i="1"/>
  <c r="M7" i="1"/>
  <c r="M17" i="1"/>
  <c r="L6" i="1"/>
  <c r="AB6" i="1"/>
  <c r="L8" i="1"/>
  <c r="AB8" i="1"/>
  <c r="L10" i="1"/>
  <c r="AB10" i="1"/>
  <c r="L12" i="1"/>
  <c r="T13" i="1"/>
  <c r="L14" i="1"/>
  <c r="T15" i="1"/>
  <c r="L16" i="1"/>
  <c r="T17" i="1"/>
  <c r="AB18" i="1"/>
  <c r="L20" i="1"/>
  <c r="L22" i="1"/>
  <c r="L24" i="1"/>
  <c r="T31" i="1"/>
  <c r="M6" i="1"/>
  <c r="U7" i="1"/>
  <c r="M8" i="1"/>
  <c r="U9" i="1"/>
  <c r="M10" i="1"/>
  <c r="U11" i="1"/>
  <c r="M12" i="1"/>
  <c r="U13" i="1"/>
  <c r="M14" i="1"/>
  <c r="U15" i="1"/>
  <c r="M16" i="1"/>
  <c r="U17" i="1"/>
  <c r="M18" i="1"/>
  <c r="U19" i="1"/>
  <c r="M20" i="1"/>
  <c r="U21" i="1"/>
  <c r="M22" i="1"/>
  <c r="U23" i="1"/>
  <c r="M24" i="1"/>
  <c r="U25" i="1"/>
  <c r="M26" i="1"/>
  <c r="U27" i="1"/>
  <c r="M28" i="1"/>
  <c r="U29" i="1"/>
  <c r="M30" i="1"/>
  <c r="U31" i="1"/>
  <c r="M32" i="1"/>
  <c r="U33" i="1"/>
  <c r="M34" i="1"/>
  <c r="U35" i="1"/>
  <c r="M36" i="1"/>
  <c r="U37" i="1"/>
  <c r="M38" i="1"/>
  <c r="U39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N32" i="1"/>
  <c r="V33" i="1"/>
  <c r="N34" i="1"/>
  <c r="V35" i="1"/>
  <c r="N36" i="1"/>
  <c r="V37" i="1"/>
  <c r="N38" i="1"/>
  <c r="V39" i="1"/>
  <c r="W7" i="1"/>
  <c r="W15" i="1"/>
  <c r="W23" i="1"/>
  <c r="W27" i="1"/>
  <c r="W11" i="1"/>
  <c r="W21" i="1"/>
  <c r="W29" i="1"/>
  <c r="W31" i="1"/>
  <c r="W35" i="1"/>
  <c r="W37" i="1"/>
  <c r="W39" i="1"/>
  <c r="X7" i="1"/>
  <c r="X9" i="1"/>
  <c r="X11" i="1"/>
  <c r="P12" i="1"/>
  <c r="X13" i="1"/>
  <c r="P14" i="1"/>
  <c r="X15" i="1"/>
  <c r="P16" i="1"/>
  <c r="X17" i="1"/>
  <c r="P18" i="1"/>
  <c r="X19" i="1"/>
  <c r="P20" i="1"/>
  <c r="X21" i="1"/>
  <c r="P22" i="1"/>
  <c r="X23" i="1"/>
  <c r="P24" i="1"/>
  <c r="X25" i="1"/>
  <c r="P26" i="1"/>
  <c r="X27" i="1"/>
  <c r="P28" i="1"/>
  <c r="X29" i="1"/>
  <c r="P30" i="1"/>
  <c r="X31" i="1"/>
  <c r="P32" i="1"/>
  <c r="X33" i="1"/>
  <c r="P34" i="1"/>
  <c r="X35" i="1"/>
  <c r="P36" i="1"/>
  <c r="X37" i="1"/>
  <c r="P38" i="1"/>
  <c r="X39" i="1"/>
  <c r="W9" i="1"/>
  <c r="W13" i="1"/>
  <c r="W17" i="1"/>
  <c r="W19" i="1"/>
  <c r="G7" i="1"/>
  <c r="Y7" i="1"/>
  <c r="G9" i="1"/>
  <c r="Y9" i="1"/>
  <c r="G11" i="1"/>
  <c r="Y11" i="1"/>
  <c r="G13" i="1"/>
  <c r="Y13" i="1"/>
  <c r="G15" i="1"/>
  <c r="Y15" i="1"/>
  <c r="G17" i="1"/>
  <c r="Y17" i="1"/>
  <c r="G19" i="1"/>
  <c r="Y19" i="1"/>
  <c r="G21" i="1"/>
  <c r="Y21" i="1"/>
  <c r="G23" i="1"/>
  <c r="Y23" i="1"/>
  <c r="G25" i="1"/>
  <c r="Y25" i="1"/>
  <c r="G27" i="1"/>
  <c r="Y27" i="1"/>
  <c r="G29" i="1"/>
  <c r="Y29" i="1"/>
  <c r="G31" i="1"/>
  <c r="Y31" i="1"/>
  <c r="G33" i="1"/>
  <c r="Y33" i="1"/>
  <c r="G35" i="1"/>
  <c r="Y35" i="1"/>
  <c r="G37" i="1"/>
  <c r="Y37" i="1"/>
  <c r="G39" i="1"/>
  <c r="Y39" i="1"/>
  <c r="Z39" i="1"/>
  <c r="AA39" i="1"/>
  <c r="L17" i="1"/>
  <c r="AB21" i="1"/>
  <c r="M25" i="1"/>
  <c r="M37" i="1"/>
  <c r="M39" i="1"/>
  <c r="L9" i="1"/>
  <c r="AB13" i="1"/>
  <c r="AB19" i="1"/>
  <c r="M29" i="1"/>
  <c r="V6" i="1"/>
  <c r="N7" i="1"/>
  <c r="V8" i="1"/>
  <c r="N9" i="1"/>
  <c r="V10" i="1"/>
  <c r="N11" i="1"/>
  <c r="V12" i="1"/>
  <c r="N13" i="1"/>
  <c r="V14" i="1"/>
  <c r="N15" i="1"/>
  <c r="V16" i="1"/>
  <c r="N17" i="1"/>
  <c r="V18" i="1"/>
  <c r="N19" i="1"/>
  <c r="V20" i="1"/>
  <c r="N21" i="1"/>
  <c r="V22" i="1"/>
  <c r="N23" i="1"/>
  <c r="V24" i="1"/>
  <c r="N25" i="1"/>
  <c r="V26" i="1"/>
  <c r="N27" i="1"/>
  <c r="V28" i="1"/>
  <c r="N29" i="1"/>
  <c r="V30" i="1"/>
  <c r="N31" i="1"/>
  <c r="V32" i="1"/>
  <c r="N33" i="1"/>
  <c r="V34" i="1"/>
  <c r="N35" i="1"/>
  <c r="V36" i="1"/>
  <c r="N37" i="1"/>
  <c r="V38" i="1"/>
  <c r="N39" i="1"/>
  <c r="AB7" i="1"/>
  <c r="L15" i="1"/>
  <c r="M33" i="1"/>
  <c r="O7" i="1"/>
  <c r="O17" i="1"/>
  <c r="W18" i="1"/>
  <c r="O21" i="1"/>
  <c r="W22" i="1"/>
  <c r="O25" i="1"/>
  <c r="W26" i="1"/>
  <c r="O27" i="1"/>
  <c r="W28" i="1"/>
  <c r="O29" i="1"/>
  <c r="W30" i="1"/>
  <c r="O31" i="1"/>
  <c r="O33" i="1"/>
  <c r="W34" i="1"/>
  <c r="O35" i="1"/>
  <c r="W36" i="1"/>
  <c r="O37" i="1"/>
  <c r="W38" i="1"/>
  <c r="O39" i="1"/>
  <c r="AB33" i="1"/>
  <c r="M35" i="1"/>
  <c r="O9" i="1"/>
  <c r="W10" i="1"/>
  <c r="W12" i="1"/>
  <c r="O13" i="1"/>
  <c r="W14" i="1"/>
  <c r="W16" i="1"/>
  <c r="O19" i="1"/>
  <c r="W20" i="1"/>
  <c r="O23" i="1"/>
  <c r="X6" i="1"/>
  <c r="P9" i="1"/>
  <c r="X10" i="1"/>
  <c r="P13" i="1"/>
  <c r="X14" i="1"/>
  <c r="P17" i="1"/>
  <c r="X18" i="1"/>
  <c r="X20" i="1"/>
  <c r="P21" i="1"/>
  <c r="X22" i="1"/>
  <c r="P23" i="1"/>
  <c r="X24" i="1"/>
  <c r="P25" i="1"/>
  <c r="X26" i="1"/>
  <c r="X28" i="1"/>
  <c r="P29" i="1"/>
  <c r="X30" i="1"/>
  <c r="P31" i="1"/>
  <c r="X32" i="1"/>
  <c r="P33" i="1"/>
  <c r="X34" i="1"/>
  <c r="P35" i="1"/>
  <c r="X36" i="1"/>
  <c r="P37" i="1"/>
  <c r="X38" i="1"/>
  <c r="P39" i="1"/>
  <c r="L11" i="1"/>
  <c r="L21" i="1"/>
  <c r="L25" i="1"/>
  <c r="AB29" i="1"/>
  <c r="M11" i="1"/>
  <c r="M19" i="1"/>
  <c r="W6" i="1"/>
  <c r="W8" i="1"/>
  <c r="O11" i="1"/>
  <c r="O15" i="1"/>
  <c r="W32" i="1"/>
  <c r="P7" i="1"/>
  <c r="X8" i="1"/>
  <c r="P11" i="1"/>
  <c r="X12" i="1"/>
  <c r="P15" i="1"/>
  <c r="X16" i="1"/>
  <c r="P19" i="1"/>
  <c r="P27" i="1"/>
  <c r="Y6" i="1"/>
  <c r="Q7" i="1"/>
  <c r="Y8" i="1"/>
  <c r="Q9" i="1"/>
  <c r="Y10" i="1"/>
  <c r="Q11" i="1"/>
  <c r="Y12" i="1"/>
  <c r="Q13" i="1"/>
  <c r="Y14" i="1"/>
  <c r="Q15" i="1"/>
  <c r="Y16" i="1"/>
  <c r="Q17" i="1"/>
  <c r="Y18" i="1"/>
  <c r="Q19" i="1"/>
  <c r="Y20" i="1"/>
  <c r="Q21" i="1"/>
  <c r="Y22" i="1"/>
  <c r="Q23" i="1"/>
  <c r="Y24" i="1"/>
  <c r="Q25" i="1"/>
  <c r="Y26" i="1"/>
  <c r="Q27" i="1"/>
  <c r="Y28" i="1"/>
  <c r="Q29" i="1"/>
  <c r="Y30" i="1"/>
  <c r="Q31" i="1"/>
  <c r="Y32" i="1"/>
  <c r="Q33" i="1"/>
  <c r="Y34" i="1"/>
  <c r="Q35" i="1"/>
  <c r="Y36" i="1"/>
  <c r="Q37" i="1"/>
  <c r="Y38" i="1"/>
  <c r="Q39" i="1"/>
  <c r="AB9" i="1"/>
  <c r="L13" i="1"/>
  <c r="AB17" i="1"/>
  <c r="AB23" i="1"/>
  <c r="L31" i="1"/>
  <c r="M15" i="1"/>
  <c r="Z6" i="1"/>
  <c r="R7" i="1"/>
  <c r="Z8" i="1"/>
  <c r="R9" i="1"/>
  <c r="R11" i="1"/>
  <c r="R15" i="1"/>
  <c r="Z16" i="1"/>
  <c r="R17" i="1"/>
  <c r="Z18" i="1"/>
  <c r="R19" i="1"/>
  <c r="R21" i="1"/>
  <c r="R23" i="1"/>
  <c r="R27" i="1"/>
  <c r="R29" i="1"/>
  <c r="Z34" i="1"/>
  <c r="R35" i="1"/>
  <c r="Z36" i="1"/>
  <c r="R37" i="1"/>
  <c r="R39" i="1"/>
  <c r="L7" i="1"/>
  <c r="L23" i="1"/>
  <c r="AB25" i="1"/>
  <c r="AB27" i="1"/>
  <c r="L29" i="1"/>
  <c r="AB31" i="1"/>
  <c r="Z10" i="1"/>
  <c r="Z12" i="1"/>
  <c r="R13" i="1"/>
  <c r="Z14" i="1"/>
  <c r="Z20" i="1"/>
  <c r="Z22" i="1"/>
  <c r="Z24" i="1"/>
  <c r="R25" i="1"/>
  <c r="Z26" i="1"/>
  <c r="Z28" i="1"/>
  <c r="Z30" i="1"/>
  <c r="R31" i="1"/>
  <c r="Z32" i="1"/>
  <c r="R33" i="1"/>
  <c r="Z38" i="1"/>
  <c r="K6" i="1"/>
  <c r="S7" i="1"/>
  <c r="K8" i="1"/>
  <c r="S9" i="1"/>
  <c r="K10" i="1"/>
  <c r="S11" i="1"/>
  <c r="K12" i="1"/>
  <c r="AA12" i="1"/>
  <c r="S13" i="1"/>
  <c r="K14" i="1"/>
  <c r="AA14" i="1"/>
  <c r="S15" i="1"/>
  <c r="K16" i="1"/>
  <c r="AA16" i="1"/>
  <c r="K18" i="1"/>
  <c r="AA18" i="1"/>
  <c r="S19" i="1"/>
  <c r="K20" i="1"/>
  <c r="AA20" i="1"/>
  <c r="S21" i="1"/>
  <c r="K22" i="1"/>
  <c r="AA22" i="1"/>
  <c r="S23" i="1"/>
  <c r="K24" i="1"/>
  <c r="AA24" i="1"/>
  <c r="S25" i="1"/>
  <c r="K26" i="1"/>
  <c r="AA26" i="1"/>
  <c r="S27" i="1"/>
  <c r="K28" i="1"/>
  <c r="AA28" i="1"/>
  <c r="S29" i="1"/>
  <c r="K30" i="1"/>
  <c r="AA30" i="1"/>
  <c r="S31" i="1"/>
  <c r="K32" i="1"/>
  <c r="AA32" i="1"/>
  <c r="S33" i="1"/>
  <c r="K34" i="1"/>
  <c r="AA34" i="1"/>
  <c r="S35" i="1"/>
  <c r="K36" i="1"/>
  <c r="AA36" i="1"/>
  <c r="S37" i="1"/>
  <c r="K38" i="1"/>
  <c r="AA38" i="1"/>
  <c r="S39" i="1"/>
  <c r="AB11" i="1"/>
  <c r="L19" i="1"/>
  <c r="L27" i="1"/>
  <c r="M9" i="1"/>
  <c r="M21" i="1"/>
  <c r="M23" i="1"/>
  <c r="M27" i="1"/>
  <c r="L26" i="1"/>
  <c r="L28" i="1"/>
  <c r="L30" i="1"/>
  <c r="L32" i="1"/>
  <c r="L34" i="1"/>
  <c r="L36" i="1"/>
  <c r="L38" i="1"/>
</calcChain>
</file>

<file path=xl/sharedStrings.xml><?xml version="1.0" encoding="utf-8"?>
<sst xmlns="http://schemas.openxmlformats.org/spreadsheetml/2006/main" count="394" uniqueCount="135">
  <si>
    <t>LEGADOSEGURO - DIAGRAMA DE GANTT DEL PROYECTO</t>
  </si>
  <si>
    <t>Curso Integrador I | Ciclo 2026-02 | Cronograma académico de 18 semanas</t>
  </si>
  <si>
    <t>PLAN DE TRABAJO</t>
  </si>
  <si>
    <t>SEMANAS ACADÉMICAS (fecha de inicio en la fila superior)</t>
  </si>
  <si>
    <t>ID</t>
  </si>
  <si>
    <t>Fase</t>
  </si>
  <si>
    <t>Actividad</t>
  </si>
  <si>
    <t>Tipo</t>
  </si>
  <si>
    <t>Inicio</t>
  </si>
  <si>
    <t>Fin</t>
  </si>
  <si>
    <t>Duración</t>
  </si>
  <si>
    <t>Responsable</t>
  </si>
  <si>
    <t>Fecha inicio</t>
  </si>
  <si>
    <t>Fecha fin</t>
  </si>
  <si>
    <t>Gestión del proyecto</t>
  </si>
  <si>
    <t>Gestión, seguimiento y actualización documental</t>
  </si>
  <si>
    <t>Planificación y análisis</t>
  </si>
  <si>
    <t>Análisis del problema y Lean Canvas</t>
  </si>
  <si>
    <t>Project Charter, alcance y stakeholders</t>
  </si>
  <si>
    <t>WBS, cronograma y estimación de recursos</t>
  </si>
  <si>
    <t>Levantamiento y priorización de requerimientos</t>
  </si>
  <si>
    <t>Prototipos preliminares de flujos críticos</t>
  </si>
  <si>
    <t>Hito académico</t>
  </si>
  <si>
    <t>APF1: planificación y análisis</t>
  </si>
  <si>
    <t>Hito</t>
  </si>
  <si>
    <t>Diseño</t>
  </si>
  <si>
    <t>Modelado de procesos BPMN</t>
  </si>
  <si>
    <t>Diseño lógico de base de datos</t>
  </si>
  <si>
    <t>Diseño físico y scripts de base de datos</t>
  </si>
  <si>
    <t>Diseño UX/UI de los flujos principales</t>
  </si>
  <si>
    <t>Arquitectura preliminar y documentación de diseño</t>
  </si>
  <si>
    <t>APF2: diseño de la solución</t>
  </si>
  <si>
    <t>Desarrollo</t>
  </si>
  <si>
    <t>Configuración del repositorio, Maven y entorno</t>
  </si>
  <si>
    <t>Arquitectura MVC, DAO, servicios, RBAC y seguridad base</t>
  </si>
  <si>
    <t>M1: autenticación, roles y sesiones</t>
  </si>
  <si>
    <t>M2 y M3: activos digitales, herederos y validador</t>
  </si>
  <si>
    <t>M4: reglas de liberación y monitoreo de inactividad</t>
  </si>
  <si>
    <t>M5: flujo principal de liberación</t>
  </si>
  <si>
    <t>Recursos Java, logging y documentación técnica</t>
  </si>
  <si>
    <t>Integración y estabilización del avance al 40 %</t>
  </si>
  <si>
    <t>APF3: arquitectura y desarrollo al 40 %</t>
  </si>
  <si>
    <t>Desarrollo complementario</t>
  </si>
  <si>
    <t>M6 y M7: orientación legal y notificaciones</t>
  </si>
  <si>
    <t>M8: auditoría, reportes Excel y certificado PDF</t>
  </si>
  <si>
    <t>Pruebas</t>
  </si>
  <si>
    <t>Pruebas unitarias, funcionales y de integración</t>
  </si>
  <si>
    <t>M9 y M10: suscripciones, administración y disputas</t>
  </si>
  <si>
    <t>Pruebas y seguridad</t>
  </si>
  <si>
    <t>Pruebas de seguridad y corrección de vulnerabilidades</t>
  </si>
  <si>
    <t>Despliegue</t>
  </si>
  <si>
    <t>Preparación y despliegue con Maven</t>
  </si>
  <si>
    <t>Operación</t>
  </si>
  <si>
    <t>Monitoreo, logs, rendimiento y salud del sistema</t>
  </si>
  <si>
    <t>Mantenimiento, backups y recuperación</t>
  </si>
  <si>
    <t>Cierre</t>
  </si>
  <si>
    <t>Pruebas de aceptación y corrección final</t>
  </si>
  <si>
    <t>Manual de usuario y documentación técnica final</t>
  </si>
  <si>
    <t>Preparación de presentación y demostración</t>
  </si>
  <si>
    <t>PROY: entrega y sustentación final</t>
  </si>
  <si>
    <t>Leyenda</t>
  </si>
  <si>
    <t>Actividad programada</t>
  </si>
  <si>
    <t>PLAN DETALLADO Y ASIGNACIÓN DE RESPONSABLES</t>
  </si>
  <si>
    <t>Semana inicio</t>
  </si>
  <si>
    <t>Semana fin</t>
  </si>
  <si>
    <t>Entregable</t>
  </si>
  <si>
    <t>Estado</t>
  </si>
  <si>
    <t>Prioridad</t>
  </si>
  <si>
    <t>Informe, Gantt, WBS y evidencias actualizadas</t>
  </si>
  <si>
    <t>No iniciado</t>
  </si>
  <si>
    <t>Alta</t>
  </si>
  <si>
    <t>Problema, solución y propuesta de valor</t>
  </si>
  <si>
    <t>Project Charter validado</t>
  </si>
  <si>
    <t>WBS y Gantt de 18 semanas</t>
  </si>
  <si>
    <t>RF, RNF, restricciones y alcance del MVP</t>
  </si>
  <si>
    <t>Wireframes iniciales</t>
  </si>
  <si>
    <t>Media</t>
  </si>
  <si>
    <t>Primer avance evaluado</t>
  </si>
  <si>
    <t>Diagramas de registro, inactividad y liberación</t>
  </si>
  <si>
    <t>Modelo entidad-relación normalizado</t>
  </si>
  <si>
    <t>Tablas, relaciones y restricciones</t>
  </si>
  <si>
    <t>Prototipo navegable</t>
  </si>
  <si>
    <t>Diseño de capas, componentes y reportes</t>
  </si>
  <si>
    <t>Segundo avance evaluado</t>
  </si>
  <si>
    <t>Proyecto base ejecutable y repositorio Git</t>
  </si>
  <si>
    <t>Arquitectura funcional inicial</t>
  </si>
  <si>
    <t>Registro, login y autorización</t>
  </si>
  <si>
    <t>CRUD de activos y herederos</t>
  </si>
  <si>
    <t>Reglas y tarea programada</t>
  </si>
  <si>
    <t>Flujo integrado por estados</t>
  </si>
  <si>
    <t>Logback, Commons, Javadoc y Markdown</t>
  </si>
  <si>
    <t>Versión integrada en GitHub</t>
  </si>
  <si>
    <t>Tercer avance evaluado</t>
  </si>
  <si>
    <t>Paquete legal y correo funcional</t>
  </si>
  <si>
    <t>Bitácora y reportes</t>
  </si>
  <si>
    <t>Matriz de pruebas y avance al 60 %</t>
  </si>
  <si>
    <t>Funciones secundarias en modo académico</t>
  </si>
  <si>
    <t>Baja</t>
  </si>
  <si>
    <t>Reporte de seguridad y avance al 70 %</t>
  </si>
  <si>
    <t>Aplicación desplegada, avance al 80 %</t>
  </si>
  <si>
    <t>Plan de monitoreo y avance al 90 %</t>
  </si>
  <si>
    <t>Plan de mantenimiento</t>
  </si>
  <si>
    <t>Sistema al 100 % académico</t>
  </si>
  <si>
    <t>Manuales y anexos completos</t>
  </si>
  <si>
    <t>Diapositivas, guion y demo</t>
  </si>
  <si>
    <t>Proyecto final evaluado</t>
  </si>
  <si>
    <t>CRITERIOS DE PLANIFICACIÓN - LEGADOSEGURO</t>
  </si>
  <si>
    <t>PORCENTAJES DE AVANCE DEL SÍLABO</t>
  </si>
  <si>
    <t>Semana</t>
  </si>
  <si>
    <t>Avance esperado</t>
  </si>
  <si>
    <t>APF1</t>
  </si>
  <si>
    <t>APF2</t>
  </si>
  <si>
    <t>APF3</t>
  </si>
  <si>
    <t>Proyecto Final</t>
  </si>
  <si>
    <t>PRIORIZACIÓN DEL ALCANCE</t>
  </si>
  <si>
    <t>MVP obligatorio</t>
  </si>
  <si>
    <t>M1 Autenticación; M2 Activos; M3 Herederos; M4 Reglas; M5 Liberación; M7 Notificaciones; M8 Auditoría</t>
  </si>
  <si>
    <t>Complementario</t>
  </si>
  <si>
    <t>M6 Orientación legal; M10 Administración y disputas</t>
  </si>
  <si>
    <t>Sandbox o simulación</t>
  </si>
  <si>
    <t>M9 Pagos, verificación facial, SMS, WhatsApp y consulta de DNI</t>
  </si>
  <si>
    <t>Pruebas continuas</t>
  </si>
  <si>
    <t>Las pruebas unitarias empiezan en la semana 9; la semana 13 concentra la evaluación formal al 60 %</t>
  </si>
  <si>
    <t>FUENTES</t>
  </si>
  <si>
    <t>Sílabo: Curso Integrador I: Sistemas - Software (100000I58N), período 2026-02.</t>
  </si>
  <si>
    <t>Informe: avance_informe_v1.docx - LegadoSeguro, versión 1.6.</t>
  </si>
  <si>
    <t>Inicio de clases</t>
  </si>
  <si>
    <t>Cierre final propuesto</t>
  </si>
  <si>
    <t>Clases: miércoles y viernes. Inicio confirmado por el equipo: 26/08/2026.</t>
  </si>
  <si>
    <t>Entrega final propuesta: 23/12/2026; la segunda sesión de semana 18 cae el 25/12. Confirmar la programación con el docente.</t>
  </si>
  <si>
    <t>Las fechas son planificadas. Un plazo vencido no acredita una tarea completada: el equipo debe confirmar los estados. Con este inicio, la semana 4 corresponde al 16 y 18/09/2026.</t>
  </si>
  <si>
    <t>Grupo 5</t>
  </si>
  <si>
    <t>Kiara</t>
  </si>
  <si>
    <t>Sthepany</t>
  </si>
  <si>
    <t>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</si>
</sst>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FFFFFF"/>
      <name val="Carlito"/>
    </font>
    <font>
      <b/>
      <sz val="11"/>
      <color rgb="FF9C3D00"/>
      <name val="Carlito"/>
    </font>
    <font>
      <b/>
      <sz val="15"/>
      <color rgb="FFFFFFFF"/>
      <name val="Carlito"/>
    </font>
    <font>
      <b/>
      <sz val="11"/>
      <color rgb="FF1F2937"/>
      <name val="Carlito"/>
    </font>
    <font>
      <b/>
      <sz val="9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B4C7E7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164" fontId="0" fillId="0" borderId="0" xfId="0" applyNumberFormat="1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2" borderId="0" xfId="0" applyFont="1" applyFill="1" applyAlignment="1">
      <alignment horizontal="center"/>
    </xf>
    <xf numFmtId="0" fontId="0" fillId="0" borderId="0" xfId="0"/>
    <xf numFmtId="0" fontId="3" fillId="4" borderId="9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font>
        <color rgb="FF9C3D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ED7D31"/>
      </font>
      <fill>
        <patternFill>
          <bgColor rgb="FFED7D31"/>
        </patternFill>
      </fill>
    </dxf>
    <dxf>
      <font>
        <color rgb="FF2F75B5"/>
      </font>
      <fill>
        <patternFill>
          <bgColor rgb="FF2F75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Actividades" displayName="PlanActividades" ref="A3:K37" totalsRowShown="0">
  <tableColumns count="11">
    <tableColumn id="1" xr3:uid="{00000000-0010-0000-0000-000001000000}" name="ID"/>
    <tableColumn id="2" xr3:uid="{00000000-0010-0000-0000-000002000000}" name="Fase"/>
    <tableColumn id="3" xr3:uid="{00000000-0010-0000-0000-000003000000}" name="Actividad"/>
    <tableColumn id="4" xr3:uid="{00000000-0010-0000-0000-000004000000}" name="Tipo"/>
    <tableColumn id="5" xr3:uid="{00000000-0010-0000-0000-000005000000}" name="Semana inicio"/>
    <tableColumn id="6" xr3:uid="{00000000-0010-0000-0000-000006000000}" name="Semana fin"/>
    <tableColumn id="7" xr3:uid="{00000000-0010-0000-0000-000007000000}" name="Duración"/>
    <tableColumn id="8" xr3:uid="{00000000-0010-0000-0000-000008000000}" name="Entregable"/>
    <tableColumn id="9" xr3:uid="{00000000-0010-0000-0000-000009000000}" name="Responsable"/>
    <tableColumn id="10" xr3:uid="{00000000-0010-0000-0000-00000A000000}" name="Estado"/>
    <tableColumn id="11" xr3:uid="{00000000-0010-0000-0000-00000B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showGridLines="0" tabSelected="1" topLeftCell="A5" zoomScale="55" zoomScaleNormal="55" workbookViewId="0">
      <selection activeCell="A44" sqref="A44:J45"/>
    </sheetView>
  </sheetViews>
  <sheetFormatPr baseColWidth="10" defaultColWidth="9" defaultRowHeight="14.25"/>
  <cols>
    <col min="1" max="1" width="6" customWidth="1"/>
    <col min="2" max="2" width="24" customWidth="1"/>
    <col min="3" max="3" width="46" customWidth="1"/>
    <col min="4" max="4" width="11" customWidth="1"/>
    <col min="5" max="7" width="9" customWidth="1"/>
    <col min="8" max="8" width="17" customWidth="1"/>
    <col min="9" max="9" width="14.625" customWidth="1"/>
    <col min="10" max="10" width="17" customWidth="1"/>
    <col min="11" max="13" width="6" bestFit="1" customWidth="1"/>
    <col min="14" max="14" width="5.75" bestFit="1" customWidth="1"/>
    <col min="15" max="16" width="6" bestFit="1" customWidth="1"/>
    <col min="17" max="17" width="5.75" bestFit="1" customWidth="1"/>
    <col min="18" max="18" width="5.375" customWidth="1"/>
    <col min="19" max="19" width="5.375" bestFit="1" customWidth="1"/>
    <col min="20" max="20" width="5.75" bestFit="1" customWidth="1"/>
    <col min="21" max="21" width="5.375" customWidth="1"/>
    <col min="22" max="22" width="4.875" bestFit="1" customWidth="1"/>
    <col min="23" max="23" width="5.125" bestFit="1" customWidth="1"/>
    <col min="24" max="24" width="5.375" bestFit="1" customWidth="1"/>
    <col min="25" max="26" width="5.75" bestFit="1" customWidth="1"/>
    <col min="27" max="27" width="5.375" bestFit="1" customWidth="1"/>
    <col min="28" max="28" width="5.75" bestFit="1" customWidth="1"/>
  </cols>
  <sheetData>
    <row r="1" spans="1:28" ht="32.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>
      <c r="K3" s="46">
        <f>'Criterios y alcance'!$B$23+0*7</f>
        <v>46260</v>
      </c>
      <c r="L3" s="46">
        <f>'Criterios y alcance'!$B$23+1*7</f>
        <v>46267</v>
      </c>
      <c r="M3" s="46">
        <f>'Criterios y alcance'!$B$23+2*7</f>
        <v>46274</v>
      </c>
      <c r="N3" s="46">
        <f>'Criterios y alcance'!$B$23+3*7</f>
        <v>46281</v>
      </c>
      <c r="O3" s="46">
        <f>'Criterios y alcance'!$B$23+4*7</f>
        <v>46288</v>
      </c>
      <c r="P3" s="46">
        <f>'Criterios y alcance'!$B$23+5*7</f>
        <v>46295</v>
      </c>
      <c r="Q3" s="46">
        <f>'Criterios y alcance'!$B$23+6*7</f>
        <v>46302</v>
      </c>
      <c r="R3" s="46">
        <f>'Criterios y alcance'!$B$23+7*7</f>
        <v>46309</v>
      </c>
      <c r="S3" s="46">
        <f>'Criterios y alcance'!$B$23+8*7</f>
        <v>46316</v>
      </c>
      <c r="T3" s="46">
        <f>'Criterios y alcance'!$B$23+9*7</f>
        <v>46323</v>
      </c>
      <c r="U3" s="46">
        <f>'Criterios y alcance'!$B$23+10*7</f>
        <v>46330</v>
      </c>
      <c r="V3" s="46">
        <f>'Criterios y alcance'!$B$23+11*7</f>
        <v>46337</v>
      </c>
      <c r="W3" s="46">
        <f>'Criterios y alcance'!$B$23+12*7</f>
        <v>46344</v>
      </c>
      <c r="X3" s="46">
        <f>'Criterios y alcance'!$B$23+13*7</f>
        <v>46351</v>
      </c>
      <c r="Y3" s="46">
        <f>'Criterios y alcance'!$B$23+14*7</f>
        <v>46358</v>
      </c>
      <c r="Z3" s="46">
        <f>'Criterios y alcance'!$B$23+15*7</f>
        <v>46365</v>
      </c>
      <c r="AA3" s="46">
        <f>'Criterios y alcance'!$B$23+16*7</f>
        <v>46372</v>
      </c>
      <c r="AB3" s="46">
        <f>'Criterios y alcance'!$B$23+17*7</f>
        <v>46379</v>
      </c>
    </row>
    <row r="4" spans="1:28" ht="15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 t="s">
        <v>3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2" t="s">
        <v>12</v>
      </c>
      <c r="I5" s="32" t="s">
        <v>13</v>
      </c>
      <c r="J5" s="2" t="s">
        <v>11</v>
      </c>
      <c r="K5" s="2">
        <v>1</v>
      </c>
      <c r="L5" s="2">
        <v>2</v>
      </c>
      <c r="M5" s="2">
        <v>3</v>
      </c>
      <c r="N5" s="2">
        <v>4</v>
      </c>
      <c r="O5" s="2">
        <v>5</v>
      </c>
      <c r="P5" s="2">
        <v>6</v>
      </c>
      <c r="Q5" s="2">
        <v>7</v>
      </c>
      <c r="R5" s="2">
        <v>8</v>
      </c>
      <c r="S5" s="2">
        <v>9</v>
      </c>
      <c r="T5" s="2">
        <v>10</v>
      </c>
      <c r="U5" s="2">
        <v>11</v>
      </c>
      <c r="V5" s="2">
        <v>12</v>
      </c>
      <c r="W5" s="2">
        <v>13</v>
      </c>
      <c r="X5" s="2">
        <v>14</v>
      </c>
      <c r="Y5" s="2">
        <v>15</v>
      </c>
      <c r="Z5" s="2">
        <v>16</v>
      </c>
      <c r="AA5" s="2">
        <v>17</v>
      </c>
      <c r="AB5" s="2">
        <v>18</v>
      </c>
    </row>
    <row r="6" spans="1:28" ht="27.95" customHeight="1">
      <c r="A6" s="3">
        <v>1</v>
      </c>
      <c r="B6" s="5" t="s">
        <v>14</v>
      </c>
      <c r="C6" s="5" t="s">
        <v>15</v>
      </c>
      <c r="D6" s="8" t="s">
        <v>6</v>
      </c>
      <c r="E6" s="8">
        <f>'Detalle editable'!E4</f>
        <v>1</v>
      </c>
      <c r="F6" s="8">
        <f>'Detalle editable'!F4</f>
        <v>18</v>
      </c>
      <c r="G6" s="8">
        <f t="shared" ref="G6:G39" si="0">F6-E6+1</f>
        <v>18</v>
      </c>
      <c r="H6" s="42">
        <v>46260</v>
      </c>
      <c r="I6" s="42">
        <v>46379</v>
      </c>
      <c r="J6" s="8" t="s">
        <v>131</v>
      </c>
      <c r="K6" s="10">
        <f t="shared" ref="K6:T15" si="1">IF(AND(K$5&gt;=$E6,K$5&lt;=$F6),IF($D6="Hito",2,1),"")</f>
        <v>1</v>
      </c>
      <c r="L6" s="10">
        <f t="shared" si="1"/>
        <v>1</v>
      </c>
      <c r="M6" s="10">
        <f t="shared" si="1"/>
        <v>1</v>
      </c>
      <c r="N6" s="10">
        <f t="shared" si="1"/>
        <v>1</v>
      </c>
      <c r="O6" s="10">
        <f t="shared" si="1"/>
        <v>1</v>
      </c>
      <c r="P6" s="10">
        <f t="shared" si="1"/>
        <v>1</v>
      </c>
      <c r="Q6" s="10">
        <f t="shared" si="1"/>
        <v>1</v>
      </c>
      <c r="R6" s="10">
        <f t="shared" si="1"/>
        <v>1</v>
      </c>
      <c r="S6" s="10">
        <f t="shared" si="1"/>
        <v>1</v>
      </c>
      <c r="T6" s="10">
        <f t="shared" si="1"/>
        <v>1</v>
      </c>
      <c r="U6" s="10">
        <f t="shared" ref="U6:AB15" si="2">IF(AND(U$5&gt;=$E6,U$5&lt;=$F6),IF($D6="Hito",2,1),"")</f>
        <v>1</v>
      </c>
      <c r="V6" s="10">
        <f t="shared" si="2"/>
        <v>1</v>
      </c>
      <c r="W6" s="10">
        <f t="shared" si="2"/>
        <v>1</v>
      </c>
      <c r="X6" s="10">
        <f t="shared" si="2"/>
        <v>1</v>
      </c>
      <c r="Y6" s="10">
        <f t="shared" si="2"/>
        <v>1</v>
      </c>
      <c r="Z6" s="10">
        <f t="shared" si="2"/>
        <v>1</v>
      </c>
      <c r="AA6" s="10">
        <f t="shared" si="2"/>
        <v>1</v>
      </c>
      <c r="AB6" s="10">
        <f t="shared" si="2"/>
        <v>1</v>
      </c>
    </row>
    <row r="7" spans="1:28" ht="27.95" customHeight="1">
      <c r="A7" s="4">
        <v>2</v>
      </c>
      <c r="B7" s="6" t="s">
        <v>16</v>
      </c>
      <c r="C7" s="6" t="s">
        <v>17</v>
      </c>
      <c r="D7" s="9" t="s">
        <v>6</v>
      </c>
      <c r="E7" s="9">
        <f>'Detalle editable'!E5</f>
        <v>1</v>
      </c>
      <c r="F7" s="9">
        <f>'Detalle editable'!F5</f>
        <v>1</v>
      </c>
      <c r="G7" s="9">
        <f t="shared" si="0"/>
        <v>1</v>
      </c>
      <c r="H7" s="43">
        <v>46260</v>
      </c>
      <c r="I7" s="43">
        <v>46262</v>
      </c>
      <c r="J7" s="9" t="s">
        <v>132</v>
      </c>
      <c r="K7" s="10">
        <f t="shared" si="1"/>
        <v>1</v>
      </c>
      <c r="L7" s="10" t="str">
        <f t="shared" si="1"/>
        <v/>
      </c>
      <c r="M7" s="10" t="str">
        <f t="shared" si="1"/>
        <v/>
      </c>
      <c r="N7" s="10" t="str">
        <f t="shared" si="1"/>
        <v/>
      </c>
      <c r="O7" s="10" t="str">
        <f t="shared" si="1"/>
        <v/>
      </c>
      <c r="P7" s="10" t="str">
        <f t="shared" si="1"/>
        <v/>
      </c>
      <c r="Q7" s="10" t="str">
        <f t="shared" si="1"/>
        <v/>
      </c>
      <c r="R7" s="10" t="str">
        <f t="shared" si="1"/>
        <v/>
      </c>
      <c r="S7" s="10" t="str">
        <f t="shared" si="1"/>
        <v/>
      </c>
      <c r="T7" s="10" t="str">
        <f t="shared" si="1"/>
        <v/>
      </c>
      <c r="U7" s="10" t="str">
        <f t="shared" si="2"/>
        <v/>
      </c>
      <c r="V7" s="10" t="str">
        <f t="shared" si="2"/>
        <v/>
      </c>
      <c r="W7" s="10" t="str">
        <f t="shared" si="2"/>
        <v/>
      </c>
      <c r="X7" s="10" t="str">
        <f t="shared" si="2"/>
        <v/>
      </c>
      <c r="Y7" s="10" t="str">
        <f t="shared" si="2"/>
        <v/>
      </c>
      <c r="Z7" s="10" t="str">
        <f t="shared" si="2"/>
        <v/>
      </c>
      <c r="AA7" s="10" t="str">
        <f t="shared" si="2"/>
        <v/>
      </c>
      <c r="AB7" s="10" t="str">
        <f t="shared" si="2"/>
        <v/>
      </c>
    </row>
    <row r="8" spans="1:28" ht="27.95" customHeight="1">
      <c r="A8" s="4">
        <v>3</v>
      </c>
      <c r="B8" s="6" t="s">
        <v>16</v>
      </c>
      <c r="C8" s="6" t="s">
        <v>18</v>
      </c>
      <c r="D8" s="9" t="s">
        <v>6</v>
      </c>
      <c r="E8" s="9">
        <f>'Detalle editable'!E6</f>
        <v>2</v>
      </c>
      <c r="F8" s="9">
        <f>'Detalle editable'!F6</f>
        <v>2</v>
      </c>
      <c r="G8" s="9">
        <f t="shared" si="0"/>
        <v>1</v>
      </c>
      <c r="H8" s="43">
        <v>46267</v>
      </c>
      <c r="I8" s="43">
        <v>46269</v>
      </c>
      <c r="J8" s="9" t="s">
        <v>133</v>
      </c>
      <c r="K8" s="10" t="str">
        <f t="shared" si="1"/>
        <v/>
      </c>
      <c r="L8" s="10">
        <f t="shared" si="1"/>
        <v>1</v>
      </c>
      <c r="M8" s="10" t="str">
        <f t="shared" si="1"/>
        <v/>
      </c>
      <c r="N8" s="10" t="str">
        <f t="shared" si="1"/>
        <v/>
      </c>
      <c r="O8" s="10" t="str">
        <f t="shared" si="1"/>
        <v/>
      </c>
      <c r="P8" s="10" t="str">
        <f t="shared" si="1"/>
        <v/>
      </c>
      <c r="Q8" s="10" t="str">
        <f t="shared" si="1"/>
        <v/>
      </c>
      <c r="R8" s="10" t="str">
        <f t="shared" si="1"/>
        <v/>
      </c>
      <c r="S8" s="10" t="str">
        <f t="shared" si="1"/>
        <v/>
      </c>
      <c r="T8" s="10" t="str">
        <f t="shared" si="1"/>
        <v/>
      </c>
      <c r="U8" s="10" t="str">
        <f t="shared" si="2"/>
        <v/>
      </c>
      <c r="V8" s="10" t="str">
        <f t="shared" si="2"/>
        <v/>
      </c>
      <c r="W8" s="10" t="str">
        <f t="shared" si="2"/>
        <v/>
      </c>
      <c r="X8" s="10" t="str">
        <f t="shared" si="2"/>
        <v/>
      </c>
      <c r="Y8" s="10" t="str">
        <f t="shared" si="2"/>
        <v/>
      </c>
      <c r="Z8" s="10" t="str">
        <f t="shared" si="2"/>
        <v/>
      </c>
      <c r="AA8" s="10" t="str">
        <f t="shared" si="2"/>
        <v/>
      </c>
      <c r="AB8" s="10" t="str">
        <f t="shared" si="2"/>
        <v/>
      </c>
    </row>
    <row r="9" spans="1:28" ht="27.95" customHeight="1">
      <c r="A9" s="4">
        <v>4</v>
      </c>
      <c r="B9" s="6" t="s">
        <v>16</v>
      </c>
      <c r="C9" s="6" t="s">
        <v>19</v>
      </c>
      <c r="D9" s="9" t="s">
        <v>6</v>
      </c>
      <c r="E9" s="9">
        <f>'Detalle editable'!E7</f>
        <v>2</v>
      </c>
      <c r="F9" s="9">
        <f>'Detalle editable'!F7</f>
        <v>3</v>
      </c>
      <c r="G9" s="9">
        <f t="shared" si="0"/>
        <v>2</v>
      </c>
      <c r="H9" s="43">
        <v>46267</v>
      </c>
      <c r="I9" s="43">
        <v>46276</v>
      </c>
      <c r="J9" s="9" t="s">
        <v>133</v>
      </c>
      <c r="K9" s="10" t="str">
        <f t="shared" si="1"/>
        <v/>
      </c>
      <c r="L9" s="10">
        <f t="shared" si="1"/>
        <v>1</v>
      </c>
      <c r="M9" s="10">
        <f t="shared" si="1"/>
        <v>1</v>
      </c>
      <c r="N9" s="10" t="str">
        <f t="shared" si="1"/>
        <v/>
      </c>
      <c r="O9" s="10" t="str">
        <f t="shared" si="1"/>
        <v/>
      </c>
      <c r="P9" s="10" t="str">
        <f t="shared" si="1"/>
        <v/>
      </c>
      <c r="Q9" s="10" t="str">
        <f t="shared" si="1"/>
        <v/>
      </c>
      <c r="R9" s="10" t="str">
        <f t="shared" si="1"/>
        <v/>
      </c>
      <c r="S9" s="10" t="str">
        <f t="shared" si="1"/>
        <v/>
      </c>
      <c r="T9" s="10" t="str">
        <f t="shared" si="1"/>
        <v/>
      </c>
      <c r="U9" s="10" t="str">
        <f t="shared" si="2"/>
        <v/>
      </c>
      <c r="V9" s="10" t="str">
        <f t="shared" si="2"/>
        <v/>
      </c>
      <c r="W9" s="10" t="str">
        <f t="shared" si="2"/>
        <v/>
      </c>
      <c r="X9" s="10" t="str">
        <f t="shared" si="2"/>
        <v/>
      </c>
      <c r="Y9" s="10" t="str">
        <f t="shared" si="2"/>
        <v/>
      </c>
      <c r="Z9" s="10" t="str">
        <f t="shared" si="2"/>
        <v/>
      </c>
      <c r="AA9" s="10" t="str">
        <f t="shared" si="2"/>
        <v/>
      </c>
      <c r="AB9" s="10" t="str">
        <f t="shared" si="2"/>
        <v/>
      </c>
    </row>
    <row r="10" spans="1:28" ht="27.95" customHeight="1">
      <c r="A10" s="4">
        <v>5</v>
      </c>
      <c r="B10" s="6" t="s">
        <v>16</v>
      </c>
      <c r="C10" s="6" t="s">
        <v>20</v>
      </c>
      <c r="D10" s="9" t="s">
        <v>6</v>
      </c>
      <c r="E10" s="9">
        <f>'Detalle editable'!E8</f>
        <v>3</v>
      </c>
      <c r="F10" s="9">
        <f>'Detalle editable'!F8</f>
        <v>4</v>
      </c>
      <c r="G10" s="9">
        <f t="shared" si="0"/>
        <v>2</v>
      </c>
      <c r="H10" s="43">
        <v>46274</v>
      </c>
      <c r="I10" s="43">
        <v>46283</v>
      </c>
      <c r="J10" s="9" t="s">
        <v>134</v>
      </c>
      <c r="K10" s="10" t="str">
        <f t="shared" si="1"/>
        <v/>
      </c>
      <c r="L10" s="10" t="str">
        <f t="shared" si="1"/>
        <v/>
      </c>
      <c r="M10" s="10">
        <f t="shared" si="1"/>
        <v>1</v>
      </c>
      <c r="N10" s="10">
        <f t="shared" si="1"/>
        <v>1</v>
      </c>
      <c r="O10" s="10" t="str">
        <f t="shared" si="1"/>
        <v/>
      </c>
      <c r="P10" s="10" t="str">
        <f t="shared" si="1"/>
        <v/>
      </c>
      <c r="Q10" s="10" t="str">
        <f t="shared" si="1"/>
        <v/>
      </c>
      <c r="R10" s="10" t="str">
        <f t="shared" si="1"/>
        <v/>
      </c>
      <c r="S10" s="10" t="str">
        <f t="shared" si="1"/>
        <v/>
      </c>
      <c r="T10" s="10" t="str">
        <f t="shared" si="1"/>
        <v/>
      </c>
      <c r="U10" s="10" t="str">
        <f t="shared" si="2"/>
        <v/>
      </c>
      <c r="V10" s="10" t="str">
        <f t="shared" si="2"/>
        <v/>
      </c>
      <c r="W10" s="10" t="str">
        <f t="shared" si="2"/>
        <v/>
      </c>
      <c r="X10" s="10" t="str">
        <f t="shared" si="2"/>
        <v/>
      </c>
      <c r="Y10" s="10" t="str">
        <f t="shared" si="2"/>
        <v/>
      </c>
      <c r="Z10" s="10" t="str">
        <f t="shared" si="2"/>
        <v/>
      </c>
      <c r="AA10" s="10" t="str">
        <f t="shared" si="2"/>
        <v/>
      </c>
      <c r="AB10" s="10" t="str">
        <f t="shared" si="2"/>
        <v/>
      </c>
    </row>
    <row r="11" spans="1:28" ht="27.95" customHeight="1">
      <c r="A11" s="4">
        <v>6</v>
      </c>
      <c r="B11" s="6" t="s">
        <v>16</v>
      </c>
      <c r="C11" s="6" t="s">
        <v>21</v>
      </c>
      <c r="D11" s="9" t="s">
        <v>6</v>
      </c>
      <c r="E11" s="9">
        <f>'Detalle editable'!E9</f>
        <v>3</v>
      </c>
      <c r="F11" s="9">
        <f>'Detalle editable'!F9</f>
        <v>4</v>
      </c>
      <c r="G11" s="9">
        <f t="shared" si="0"/>
        <v>2</v>
      </c>
      <c r="H11" s="43">
        <v>46274</v>
      </c>
      <c r="I11" s="43">
        <v>46283</v>
      </c>
      <c r="J11" s="9" t="s">
        <v>134</v>
      </c>
      <c r="K11" s="10" t="str">
        <f t="shared" si="1"/>
        <v/>
      </c>
      <c r="L11" s="10" t="str">
        <f t="shared" si="1"/>
        <v/>
      </c>
      <c r="M11" s="10">
        <f t="shared" si="1"/>
        <v>1</v>
      </c>
      <c r="N11" s="10">
        <f t="shared" si="1"/>
        <v>1</v>
      </c>
      <c r="O11" s="10" t="str">
        <f t="shared" si="1"/>
        <v/>
      </c>
      <c r="P11" s="10" t="str">
        <f t="shared" si="1"/>
        <v/>
      </c>
      <c r="Q11" s="10" t="str">
        <f t="shared" si="1"/>
        <v/>
      </c>
      <c r="R11" s="10" t="str">
        <f t="shared" si="1"/>
        <v/>
      </c>
      <c r="S11" s="10" t="str">
        <f t="shared" si="1"/>
        <v/>
      </c>
      <c r="T11" s="10" t="str">
        <f t="shared" si="1"/>
        <v/>
      </c>
      <c r="U11" s="10" t="str">
        <f t="shared" si="2"/>
        <v/>
      </c>
      <c r="V11" s="10" t="str">
        <f t="shared" si="2"/>
        <v/>
      </c>
      <c r="W11" s="10" t="str">
        <f t="shared" si="2"/>
        <v/>
      </c>
      <c r="X11" s="10" t="str">
        <f t="shared" si="2"/>
        <v/>
      </c>
      <c r="Y11" s="10" t="str">
        <f t="shared" si="2"/>
        <v/>
      </c>
      <c r="Z11" s="10" t="str">
        <f t="shared" si="2"/>
        <v/>
      </c>
      <c r="AA11" s="10" t="str">
        <f t="shared" si="2"/>
        <v/>
      </c>
      <c r="AB11" s="10" t="str">
        <f t="shared" si="2"/>
        <v/>
      </c>
    </row>
    <row r="12" spans="1:28" ht="27.95" customHeight="1">
      <c r="A12" s="11">
        <v>7</v>
      </c>
      <c r="B12" s="12" t="s">
        <v>22</v>
      </c>
      <c r="C12" s="12" t="s">
        <v>23</v>
      </c>
      <c r="D12" s="13" t="s">
        <v>24</v>
      </c>
      <c r="E12" s="13">
        <f>'Detalle editable'!E10</f>
        <v>4</v>
      </c>
      <c r="F12" s="13">
        <f>'Detalle editable'!F10</f>
        <v>4</v>
      </c>
      <c r="G12" s="13">
        <f t="shared" si="0"/>
        <v>1</v>
      </c>
      <c r="H12" s="44">
        <v>46283</v>
      </c>
      <c r="I12" s="44">
        <v>46283</v>
      </c>
      <c r="J12" s="13" t="str">
        <f>IF('Detalle editable'!I10="","",'Detalle editable'!I10)</f>
        <v/>
      </c>
      <c r="K12" s="10" t="str">
        <f t="shared" si="1"/>
        <v/>
      </c>
      <c r="L12" s="10" t="str">
        <f t="shared" si="1"/>
        <v/>
      </c>
      <c r="M12" s="10" t="str">
        <f t="shared" si="1"/>
        <v/>
      </c>
      <c r="N12" s="10">
        <f t="shared" si="1"/>
        <v>2</v>
      </c>
      <c r="O12" s="10" t="str">
        <f t="shared" si="1"/>
        <v/>
      </c>
      <c r="P12" s="10" t="str">
        <f t="shared" si="1"/>
        <v/>
      </c>
      <c r="Q12" s="10" t="str">
        <f t="shared" si="1"/>
        <v/>
      </c>
      <c r="R12" s="10" t="str">
        <f t="shared" si="1"/>
        <v/>
      </c>
      <c r="S12" s="10" t="str">
        <f t="shared" si="1"/>
        <v/>
      </c>
      <c r="T12" s="10" t="str">
        <f t="shared" si="1"/>
        <v/>
      </c>
      <c r="U12" s="10" t="str">
        <f t="shared" si="2"/>
        <v/>
      </c>
      <c r="V12" s="10" t="str">
        <f t="shared" si="2"/>
        <v/>
      </c>
      <c r="W12" s="10" t="str">
        <f t="shared" si="2"/>
        <v/>
      </c>
      <c r="X12" s="10" t="str">
        <f t="shared" si="2"/>
        <v/>
      </c>
      <c r="Y12" s="10" t="str">
        <f t="shared" si="2"/>
        <v/>
      </c>
      <c r="Z12" s="10" t="str">
        <f t="shared" si="2"/>
        <v/>
      </c>
      <c r="AA12" s="10" t="str">
        <f t="shared" si="2"/>
        <v/>
      </c>
      <c r="AB12" s="10" t="str">
        <f t="shared" si="2"/>
        <v/>
      </c>
    </row>
    <row r="13" spans="1:28" ht="27.95" customHeight="1">
      <c r="A13" s="4">
        <v>8</v>
      </c>
      <c r="B13" s="6" t="s">
        <v>25</v>
      </c>
      <c r="C13" s="6" t="s">
        <v>26</v>
      </c>
      <c r="D13" s="9" t="s">
        <v>6</v>
      </c>
      <c r="E13" s="9">
        <f>'Detalle editable'!E11</f>
        <v>5</v>
      </c>
      <c r="F13" s="9">
        <f>'Detalle editable'!F11</f>
        <v>6</v>
      </c>
      <c r="G13" s="9">
        <f t="shared" si="0"/>
        <v>2</v>
      </c>
      <c r="H13" s="43">
        <v>46288</v>
      </c>
      <c r="I13" s="43">
        <v>46297</v>
      </c>
      <c r="J13" s="9" t="s">
        <v>133</v>
      </c>
      <c r="K13" s="10" t="str">
        <f t="shared" si="1"/>
        <v/>
      </c>
      <c r="L13" s="10" t="str">
        <f t="shared" si="1"/>
        <v/>
      </c>
      <c r="M13" s="10" t="str">
        <f t="shared" si="1"/>
        <v/>
      </c>
      <c r="N13" s="10" t="str">
        <f t="shared" si="1"/>
        <v/>
      </c>
      <c r="O13" s="10">
        <f t="shared" si="1"/>
        <v>1</v>
      </c>
      <c r="P13" s="10">
        <f t="shared" si="1"/>
        <v>1</v>
      </c>
      <c r="Q13" s="10" t="str">
        <f t="shared" si="1"/>
        <v/>
      </c>
      <c r="R13" s="10" t="str">
        <f t="shared" si="1"/>
        <v/>
      </c>
      <c r="S13" s="10" t="str">
        <f t="shared" si="1"/>
        <v/>
      </c>
      <c r="T13" s="10" t="str">
        <f t="shared" si="1"/>
        <v/>
      </c>
      <c r="U13" s="10" t="str">
        <f t="shared" si="2"/>
        <v/>
      </c>
      <c r="V13" s="10" t="str">
        <f t="shared" si="2"/>
        <v/>
      </c>
      <c r="W13" s="10" t="str">
        <f t="shared" si="2"/>
        <v/>
      </c>
      <c r="X13" s="10" t="str">
        <f t="shared" si="2"/>
        <v/>
      </c>
      <c r="Y13" s="10" t="str">
        <f t="shared" si="2"/>
        <v/>
      </c>
      <c r="Z13" s="10" t="str">
        <f t="shared" si="2"/>
        <v/>
      </c>
      <c r="AA13" s="10" t="str">
        <f t="shared" si="2"/>
        <v/>
      </c>
      <c r="AB13" s="10" t="str">
        <f t="shared" si="2"/>
        <v/>
      </c>
    </row>
    <row r="14" spans="1:28" ht="27.95" customHeight="1">
      <c r="A14" s="4">
        <v>9</v>
      </c>
      <c r="B14" s="6" t="s">
        <v>25</v>
      </c>
      <c r="C14" s="6" t="s">
        <v>27</v>
      </c>
      <c r="D14" s="9" t="s">
        <v>6</v>
      </c>
      <c r="E14" s="9">
        <f>'Detalle editable'!E12</f>
        <v>5</v>
      </c>
      <c r="F14" s="9">
        <f>'Detalle editable'!F12</f>
        <v>6</v>
      </c>
      <c r="G14" s="9">
        <f t="shared" si="0"/>
        <v>2</v>
      </c>
      <c r="H14" s="43">
        <v>46288</v>
      </c>
      <c r="I14" s="43">
        <v>46297</v>
      </c>
      <c r="J14" s="9" t="s">
        <v>132</v>
      </c>
      <c r="K14" s="10" t="str">
        <f t="shared" si="1"/>
        <v/>
      </c>
      <c r="L14" s="10" t="str">
        <f t="shared" si="1"/>
        <v/>
      </c>
      <c r="M14" s="10" t="str">
        <f t="shared" si="1"/>
        <v/>
      </c>
      <c r="N14" s="10" t="str">
        <f t="shared" si="1"/>
        <v/>
      </c>
      <c r="O14" s="10">
        <f t="shared" si="1"/>
        <v>1</v>
      </c>
      <c r="P14" s="10">
        <f t="shared" si="1"/>
        <v>1</v>
      </c>
      <c r="Q14" s="10" t="str">
        <f t="shared" si="1"/>
        <v/>
      </c>
      <c r="R14" s="10" t="str">
        <f t="shared" si="1"/>
        <v/>
      </c>
      <c r="S14" s="10" t="str">
        <f t="shared" si="1"/>
        <v/>
      </c>
      <c r="T14" s="10" t="str">
        <f t="shared" si="1"/>
        <v/>
      </c>
      <c r="U14" s="10" t="str">
        <f t="shared" si="2"/>
        <v/>
      </c>
      <c r="V14" s="10" t="str">
        <f t="shared" si="2"/>
        <v/>
      </c>
      <c r="W14" s="10" t="str">
        <f t="shared" si="2"/>
        <v/>
      </c>
      <c r="X14" s="10" t="str">
        <f t="shared" si="2"/>
        <v/>
      </c>
      <c r="Y14" s="10" t="str">
        <f t="shared" si="2"/>
        <v/>
      </c>
      <c r="Z14" s="10" t="str">
        <f t="shared" si="2"/>
        <v/>
      </c>
      <c r="AA14" s="10" t="str">
        <f t="shared" si="2"/>
        <v/>
      </c>
      <c r="AB14" s="10" t="str">
        <f t="shared" si="2"/>
        <v/>
      </c>
    </row>
    <row r="15" spans="1:28" ht="27.95" customHeight="1">
      <c r="A15" s="4">
        <v>10</v>
      </c>
      <c r="B15" s="6" t="s">
        <v>25</v>
      </c>
      <c r="C15" s="6" t="s">
        <v>28</v>
      </c>
      <c r="D15" s="9" t="s">
        <v>6</v>
      </c>
      <c r="E15" s="9">
        <f>'Detalle editable'!E13</f>
        <v>6</v>
      </c>
      <c r="F15" s="9">
        <f>'Detalle editable'!F13</f>
        <v>7</v>
      </c>
      <c r="G15" s="9">
        <f t="shared" si="0"/>
        <v>2</v>
      </c>
      <c r="H15" s="43">
        <v>46295</v>
      </c>
      <c r="I15" s="43">
        <v>46304</v>
      </c>
      <c r="J15" s="9" t="s">
        <v>134</v>
      </c>
      <c r="K15" s="10" t="str">
        <f t="shared" si="1"/>
        <v/>
      </c>
      <c r="L15" s="10" t="str">
        <f t="shared" si="1"/>
        <v/>
      </c>
      <c r="M15" s="10" t="str">
        <f t="shared" si="1"/>
        <v/>
      </c>
      <c r="N15" s="10" t="str">
        <f t="shared" si="1"/>
        <v/>
      </c>
      <c r="O15" s="10" t="str">
        <f t="shared" si="1"/>
        <v/>
      </c>
      <c r="P15" s="10">
        <f t="shared" si="1"/>
        <v>1</v>
      </c>
      <c r="Q15" s="10">
        <f t="shared" si="1"/>
        <v>1</v>
      </c>
      <c r="R15" s="10" t="str">
        <f t="shared" si="1"/>
        <v/>
      </c>
      <c r="S15" s="10" t="str">
        <f t="shared" si="1"/>
        <v/>
      </c>
      <c r="T15" s="10" t="str">
        <f t="shared" si="1"/>
        <v/>
      </c>
      <c r="U15" s="10" t="str">
        <f t="shared" si="2"/>
        <v/>
      </c>
      <c r="V15" s="10" t="str">
        <f t="shared" si="2"/>
        <v/>
      </c>
      <c r="W15" s="10" t="str">
        <f t="shared" si="2"/>
        <v/>
      </c>
      <c r="X15" s="10" t="str">
        <f t="shared" si="2"/>
        <v/>
      </c>
      <c r="Y15" s="10" t="str">
        <f t="shared" si="2"/>
        <v/>
      </c>
      <c r="Z15" s="10" t="str">
        <f t="shared" si="2"/>
        <v/>
      </c>
      <c r="AA15" s="10" t="str">
        <f t="shared" si="2"/>
        <v/>
      </c>
      <c r="AB15" s="10" t="str">
        <f t="shared" si="2"/>
        <v/>
      </c>
    </row>
    <row r="16" spans="1:28" ht="27.95" customHeight="1">
      <c r="A16" s="4">
        <v>11</v>
      </c>
      <c r="B16" s="6" t="s">
        <v>25</v>
      </c>
      <c r="C16" s="6" t="s">
        <v>29</v>
      </c>
      <c r="D16" s="9" t="s">
        <v>6</v>
      </c>
      <c r="E16" s="9">
        <f>'Detalle editable'!E14</f>
        <v>6</v>
      </c>
      <c r="F16" s="9">
        <f>'Detalle editable'!F14</f>
        <v>7</v>
      </c>
      <c r="G16" s="9">
        <f t="shared" si="0"/>
        <v>2</v>
      </c>
      <c r="H16" s="43">
        <v>46295</v>
      </c>
      <c r="I16" s="43">
        <v>46304</v>
      </c>
      <c r="J16" s="9" t="s">
        <v>132</v>
      </c>
      <c r="K16" s="10" t="str">
        <f t="shared" ref="K16:T25" si="3">IF(AND(K$5&gt;=$E16,K$5&lt;=$F16),IF($D16="Hito",2,1),"")</f>
        <v/>
      </c>
      <c r="L16" s="10" t="str">
        <f t="shared" si="3"/>
        <v/>
      </c>
      <c r="M16" s="10" t="str">
        <f t="shared" si="3"/>
        <v/>
      </c>
      <c r="N16" s="10" t="str">
        <f t="shared" si="3"/>
        <v/>
      </c>
      <c r="O16" s="10" t="str">
        <f t="shared" si="3"/>
        <v/>
      </c>
      <c r="P16" s="10">
        <f t="shared" si="3"/>
        <v>1</v>
      </c>
      <c r="Q16" s="10">
        <f t="shared" si="3"/>
        <v>1</v>
      </c>
      <c r="R16" s="10" t="str">
        <f t="shared" si="3"/>
        <v/>
      </c>
      <c r="S16" s="10" t="str">
        <f t="shared" si="3"/>
        <v/>
      </c>
      <c r="T16" s="10" t="str">
        <f t="shared" si="3"/>
        <v/>
      </c>
      <c r="U16" s="10" t="str">
        <f t="shared" ref="U16:AB25" si="4">IF(AND(U$5&gt;=$E16,U$5&lt;=$F16),IF($D16="Hito",2,1),"")</f>
        <v/>
      </c>
      <c r="V16" s="10" t="str">
        <f t="shared" si="4"/>
        <v/>
      </c>
      <c r="W16" s="10" t="str">
        <f t="shared" si="4"/>
        <v/>
      </c>
      <c r="X16" s="10" t="str">
        <f t="shared" si="4"/>
        <v/>
      </c>
      <c r="Y16" s="10" t="str">
        <f t="shared" si="4"/>
        <v/>
      </c>
      <c r="Z16" s="10" t="str">
        <f t="shared" si="4"/>
        <v/>
      </c>
      <c r="AA16" s="10" t="str">
        <f t="shared" si="4"/>
        <v/>
      </c>
      <c r="AB16" s="10" t="str">
        <f t="shared" si="4"/>
        <v/>
      </c>
    </row>
    <row r="17" spans="1:28" ht="27.95" customHeight="1">
      <c r="A17" s="4">
        <v>12</v>
      </c>
      <c r="B17" s="6" t="s">
        <v>25</v>
      </c>
      <c r="C17" s="6" t="s">
        <v>30</v>
      </c>
      <c r="D17" s="9" t="s">
        <v>6</v>
      </c>
      <c r="E17" s="9">
        <f>'Detalle editable'!E15</f>
        <v>7</v>
      </c>
      <c r="F17" s="9">
        <f>'Detalle editable'!F15</f>
        <v>8</v>
      </c>
      <c r="G17" s="9">
        <f t="shared" si="0"/>
        <v>2</v>
      </c>
      <c r="H17" s="43">
        <v>46302</v>
      </c>
      <c r="I17" s="43">
        <v>46311</v>
      </c>
      <c r="J17" s="9" t="s">
        <v>134</v>
      </c>
      <c r="K17" s="10" t="str">
        <f t="shared" si="3"/>
        <v/>
      </c>
      <c r="L17" s="10" t="str">
        <f t="shared" si="3"/>
        <v/>
      </c>
      <c r="M17" s="10" t="str">
        <f t="shared" si="3"/>
        <v/>
      </c>
      <c r="N17" s="10" t="str">
        <f t="shared" si="3"/>
        <v/>
      </c>
      <c r="O17" s="10" t="str">
        <f t="shared" si="3"/>
        <v/>
      </c>
      <c r="P17" s="10" t="str">
        <f t="shared" si="3"/>
        <v/>
      </c>
      <c r="Q17" s="10">
        <f t="shared" si="3"/>
        <v>1</v>
      </c>
      <c r="R17" s="10">
        <f t="shared" si="3"/>
        <v>1</v>
      </c>
      <c r="S17" s="10" t="str">
        <f t="shared" si="3"/>
        <v/>
      </c>
      <c r="T17" s="10" t="str">
        <f t="shared" si="3"/>
        <v/>
      </c>
      <c r="U17" s="10" t="str">
        <f t="shared" si="4"/>
        <v/>
      </c>
      <c r="V17" s="10" t="str">
        <f t="shared" si="4"/>
        <v/>
      </c>
      <c r="W17" s="10" t="str">
        <f t="shared" si="4"/>
        <v/>
      </c>
      <c r="X17" s="10" t="str">
        <f t="shared" si="4"/>
        <v/>
      </c>
      <c r="Y17" s="10" t="str">
        <f t="shared" si="4"/>
        <v/>
      </c>
      <c r="Z17" s="10" t="str">
        <f t="shared" si="4"/>
        <v/>
      </c>
      <c r="AA17" s="10" t="str">
        <f t="shared" si="4"/>
        <v/>
      </c>
      <c r="AB17" s="10" t="str">
        <f t="shared" si="4"/>
        <v/>
      </c>
    </row>
    <row r="18" spans="1:28" ht="27.95" customHeight="1">
      <c r="A18" s="11">
        <v>13</v>
      </c>
      <c r="B18" s="12" t="s">
        <v>22</v>
      </c>
      <c r="C18" s="12" t="s">
        <v>31</v>
      </c>
      <c r="D18" s="13" t="s">
        <v>24</v>
      </c>
      <c r="E18" s="13">
        <f>'Detalle editable'!E16</f>
        <v>8</v>
      </c>
      <c r="F18" s="13">
        <f>'Detalle editable'!F16</f>
        <v>8</v>
      </c>
      <c r="G18" s="13">
        <f t="shared" si="0"/>
        <v>1</v>
      </c>
      <c r="H18" s="44">
        <v>46311</v>
      </c>
      <c r="I18" s="44">
        <v>46311</v>
      </c>
      <c r="J18" s="13" t="str">
        <f>IF('Detalle editable'!I16="","",'Detalle editable'!I16)</f>
        <v/>
      </c>
      <c r="K18" s="10" t="str">
        <f t="shared" si="3"/>
        <v/>
      </c>
      <c r="L18" s="10" t="str">
        <f t="shared" si="3"/>
        <v/>
      </c>
      <c r="M18" s="10" t="str">
        <f t="shared" si="3"/>
        <v/>
      </c>
      <c r="N18" s="10" t="str">
        <f t="shared" si="3"/>
        <v/>
      </c>
      <c r="O18" s="10" t="str">
        <f t="shared" si="3"/>
        <v/>
      </c>
      <c r="P18" s="10" t="str">
        <f t="shared" si="3"/>
        <v/>
      </c>
      <c r="Q18" s="10" t="str">
        <f t="shared" si="3"/>
        <v/>
      </c>
      <c r="R18" s="10">
        <f t="shared" si="3"/>
        <v>2</v>
      </c>
      <c r="S18" s="10" t="str">
        <f t="shared" si="3"/>
        <v/>
      </c>
      <c r="T18" s="10" t="str">
        <f t="shared" si="3"/>
        <v/>
      </c>
      <c r="U18" s="10" t="str">
        <f t="shared" si="4"/>
        <v/>
      </c>
      <c r="V18" s="10" t="str">
        <f t="shared" si="4"/>
        <v/>
      </c>
      <c r="W18" s="10" t="str">
        <f t="shared" si="4"/>
        <v/>
      </c>
      <c r="X18" s="10" t="str">
        <f t="shared" si="4"/>
        <v/>
      </c>
      <c r="Y18" s="10" t="str">
        <f t="shared" si="4"/>
        <v/>
      </c>
      <c r="Z18" s="10" t="str">
        <f t="shared" si="4"/>
        <v/>
      </c>
      <c r="AA18" s="10" t="str">
        <f t="shared" si="4"/>
        <v/>
      </c>
      <c r="AB18" s="10" t="str">
        <f t="shared" si="4"/>
        <v/>
      </c>
    </row>
    <row r="19" spans="1:28" ht="27.95" customHeight="1">
      <c r="A19" s="4">
        <v>14</v>
      </c>
      <c r="B19" s="6" t="s">
        <v>32</v>
      </c>
      <c r="C19" s="6" t="s">
        <v>33</v>
      </c>
      <c r="D19" s="9" t="s">
        <v>6</v>
      </c>
      <c r="E19" s="9">
        <f>'Detalle editable'!E17</f>
        <v>8</v>
      </c>
      <c r="F19" s="9">
        <f>'Detalle editable'!F17</f>
        <v>9</v>
      </c>
      <c r="G19" s="9">
        <f t="shared" si="0"/>
        <v>2</v>
      </c>
      <c r="H19" s="43">
        <v>46309</v>
      </c>
      <c r="I19" s="43">
        <v>46318</v>
      </c>
      <c r="J19" s="9" t="s">
        <v>133</v>
      </c>
      <c r="K19" s="10" t="str">
        <f t="shared" si="3"/>
        <v/>
      </c>
      <c r="L19" s="10" t="str">
        <f t="shared" si="3"/>
        <v/>
      </c>
      <c r="M19" s="10" t="str">
        <f t="shared" si="3"/>
        <v/>
      </c>
      <c r="N19" s="10" t="str">
        <f t="shared" si="3"/>
        <v/>
      </c>
      <c r="O19" s="10" t="str">
        <f t="shared" si="3"/>
        <v/>
      </c>
      <c r="P19" s="10" t="str">
        <f t="shared" si="3"/>
        <v/>
      </c>
      <c r="Q19" s="10" t="str">
        <f t="shared" si="3"/>
        <v/>
      </c>
      <c r="R19" s="10">
        <f t="shared" si="3"/>
        <v>1</v>
      </c>
      <c r="S19" s="10">
        <f t="shared" si="3"/>
        <v>1</v>
      </c>
      <c r="T19" s="10" t="str">
        <f t="shared" si="3"/>
        <v/>
      </c>
      <c r="U19" s="10" t="str">
        <f t="shared" si="4"/>
        <v/>
      </c>
      <c r="V19" s="10" t="str">
        <f t="shared" si="4"/>
        <v/>
      </c>
      <c r="W19" s="10" t="str">
        <f t="shared" si="4"/>
        <v/>
      </c>
      <c r="X19" s="10" t="str">
        <f t="shared" si="4"/>
        <v/>
      </c>
      <c r="Y19" s="10" t="str">
        <f t="shared" si="4"/>
        <v/>
      </c>
      <c r="Z19" s="10" t="str">
        <f t="shared" si="4"/>
        <v/>
      </c>
      <c r="AA19" s="10" t="str">
        <f t="shared" si="4"/>
        <v/>
      </c>
      <c r="AB19" s="10" t="str">
        <f t="shared" si="4"/>
        <v/>
      </c>
    </row>
    <row r="20" spans="1:28" ht="27.95" customHeight="1">
      <c r="A20" s="4">
        <v>15</v>
      </c>
      <c r="B20" s="6" t="s">
        <v>32</v>
      </c>
      <c r="C20" s="6" t="s">
        <v>34</v>
      </c>
      <c r="D20" s="9" t="s">
        <v>6</v>
      </c>
      <c r="E20" s="9">
        <f>'Detalle editable'!E18</f>
        <v>9</v>
      </c>
      <c r="F20" s="9">
        <f>'Detalle editable'!F18</f>
        <v>10</v>
      </c>
      <c r="G20" s="9">
        <f t="shared" si="0"/>
        <v>2</v>
      </c>
      <c r="H20" s="43">
        <v>46316</v>
      </c>
      <c r="I20" s="43">
        <v>46325</v>
      </c>
      <c r="J20" s="9" t="s">
        <v>133</v>
      </c>
      <c r="K20" s="10" t="str">
        <f t="shared" si="3"/>
        <v/>
      </c>
      <c r="L20" s="10" t="str">
        <f t="shared" si="3"/>
        <v/>
      </c>
      <c r="M20" s="10" t="str">
        <f t="shared" si="3"/>
        <v/>
      </c>
      <c r="N20" s="10" t="str">
        <f t="shared" si="3"/>
        <v/>
      </c>
      <c r="O20" s="10" t="str">
        <f t="shared" si="3"/>
        <v/>
      </c>
      <c r="P20" s="10" t="str">
        <f t="shared" si="3"/>
        <v/>
      </c>
      <c r="Q20" s="10" t="str">
        <f t="shared" si="3"/>
        <v/>
      </c>
      <c r="R20" s="10" t="str">
        <f t="shared" si="3"/>
        <v/>
      </c>
      <c r="S20" s="10">
        <f t="shared" si="3"/>
        <v>1</v>
      </c>
      <c r="T20" s="10">
        <f t="shared" si="3"/>
        <v>1</v>
      </c>
      <c r="U20" s="10" t="str">
        <f t="shared" si="4"/>
        <v/>
      </c>
      <c r="V20" s="10" t="str">
        <f t="shared" si="4"/>
        <v/>
      </c>
      <c r="W20" s="10" t="str">
        <f t="shared" si="4"/>
        <v/>
      </c>
      <c r="X20" s="10" t="str">
        <f t="shared" si="4"/>
        <v/>
      </c>
      <c r="Y20" s="10" t="str">
        <f t="shared" si="4"/>
        <v/>
      </c>
      <c r="Z20" s="10" t="str">
        <f t="shared" si="4"/>
        <v/>
      </c>
      <c r="AA20" s="10" t="str">
        <f t="shared" si="4"/>
        <v/>
      </c>
      <c r="AB20" s="10" t="str">
        <f t="shared" si="4"/>
        <v/>
      </c>
    </row>
    <row r="21" spans="1:28" ht="27.95" customHeight="1">
      <c r="A21" s="4">
        <v>16</v>
      </c>
      <c r="B21" s="6" t="s">
        <v>32</v>
      </c>
      <c r="C21" s="6" t="s">
        <v>35</v>
      </c>
      <c r="D21" s="9" t="s">
        <v>6</v>
      </c>
      <c r="E21" s="9">
        <f>'Detalle editable'!E19</f>
        <v>9</v>
      </c>
      <c r="F21" s="9">
        <f>'Detalle editable'!F19</f>
        <v>10</v>
      </c>
      <c r="G21" s="9">
        <f t="shared" si="0"/>
        <v>2</v>
      </c>
      <c r="H21" s="43">
        <v>46316</v>
      </c>
      <c r="I21" s="43">
        <v>46325</v>
      </c>
      <c r="J21" s="9" t="s">
        <v>133</v>
      </c>
      <c r="K21" s="10" t="str">
        <f t="shared" si="3"/>
        <v/>
      </c>
      <c r="L21" s="10" t="str">
        <f t="shared" si="3"/>
        <v/>
      </c>
      <c r="M21" s="10" t="str">
        <f t="shared" si="3"/>
        <v/>
      </c>
      <c r="N21" s="10" t="str">
        <f t="shared" si="3"/>
        <v/>
      </c>
      <c r="O21" s="10" t="str">
        <f t="shared" si="3"/>
        <v/>
      </c>
      <c r="P21" s="10" t="str">
        <f t="shared" si="3"/>
        <v/>
      </c>
      <c r="Q21" s="10" t="str">
        <f t="shared" si="3"/>
        <v/>
      </c>
      <c r="R21" s="10" t="str">
        <f t="shared" si="3"/>
        <v/>
      </c>
      <c r="S21" s="10">
        <f t="shared" si="3"/>
        <v>1</v>
      </c>
      <c r="T21" s="10">
        <f t="shared" si="3"/>
        <v>1</v>
      </c>
      <c r="U21" s="10" t="str">
        <f t="shared" si="4"/>
        <v/>
      </c>
      <c r="V21" s="10" t="str">
        <f t="shared" si="4"/>
        <v/>
      </c>
      <c r="W21" s="10" t="str">
        <f t="shared" si="4"/>
        <v/>
      </c>
      <c r="X21" s="10" t="str">
        <f t="shared" si="4"/>
        <v/>
      </c>
      <c r="Y21" s="10" t="str">
        <f t="shared" si="4"/>
        <v/>
      </c>
      <c r="Z21" s="10" t="str">
        <f t="shared" si="4"/>
        <v/>
      </c>
      <c r="AA21" s="10" t="str">
        <f t="shared" si="4"/>
        <v/>
      </c>
      <c r="AB21" s="10" t="str">
        <f t="shared" si="4"/>
        <v/>
      </c>
    </row>
    <row r="22" spans="1:28" ht="27.95" customHeight="1">
      <c r="A22" s="4">
        <v>17</v>
      </c>
      <c r="B22" s="6" t="s">
        <v>32</v>
      </c>
      <c r="C22" s="6" t="s">
        <v>36</v>
      </c>
      <c r="D22" s="9" t="s">
        <v>6</v>
      </c>
      <c r="E22" s="9">
        <f>'Detalle editable'!E20</f>
        <v>10</v>
      </c>
      <c r="F22" s="9">
        <f>'Detalle editable'!F20</f>
        <v>11</v>
      </c>
      <c r="G22" s="9">
        <f t="shared" si="0"/>
        <v>2</v>
      </c>
      <c r="H22" s="43">
        <v>46323</v>
      </c>
      <c r="I22" s="43">
        <v>46332</v>
      </c>
      <c r="J22" s="9" t="s">
        <v>134</v>
      </c>
      <c r="K22" s="10" t="str">
        <f t="shared" si="3"/>
        <v/>
      </c>
      <c r="L22" s="10" t="str">
        <f t="shared" si="3"/>
        <v/>
      </c>
      <c r="M22" s="10" t="str">
        <f t="shared" si="3"/>
        <v/>
      </c>
      <c r="N22" s="10" t="str">
        <f t="shared" si="3"/>
        <v/>
      </c>
      <c r="O22" s="10" t="str">
        <f t="shared" si="3"/>
        <v/>
      </c>
      <c r="P22" s="10" t="str">
        <f t="shared" si="3"/>
        <v/>
      </c>
      <c r="Q22" s="10" t="str">
        <f t="shared" si="3"/>
        <v/>
      </c>
      <c r="R22" s="10" t="str">
        <f t="shared" si="3"/>
        <v/>
      </c>
      <c r="S22" s="10" t="str">
        <f t="shared" si="3"/>
        <v/>
      </c>
      <c r="T22" s="10">
        <f t="shared" si="3"/>
        <v>1</v>
      </c>
      <c r="U22" s="10">
        <f t="shared" si="4"/>
        <v>1</v>
      </c>
      <c r="V22" s="10" t="str">
        <f t="shared" si="4"/>
        <v/>
      </c>
      <c r="W22" s="10" t="str">
        <f t="shared" si="4"/>
        <v/>
      </c>
      <c r="X22" s="10" t="str">
        <f t="shared" si="4"/>
        <v/>
      </c>
      <c r="Y22" s="10" t="str">
        <f t="shared" si="4"/>
        <v/>
      </c>
      <c r="Z22" s="10" t="str">
        <f t="shared" si="4"/>
        <v/>
      </c>
      <c r="AA22" s="10" t="str">
        <f t="shared" si="4"/>
        <v/>
      </c>
      <c r="AB22" s="10" t="str">
        <f t="shared" si="4"/>
        <v/>
      </c>
    </row>
    <row r="23" spans="1:28" ht="27.95" customHeight="1">
      <c r="A23" s="4">
        <v>18</v>
      </c>
      <c r="B23" s="6" t="s">
        <v>32</v>
      </c>
      <c r="C23" s="6" t="s">
        <v>37</v>
      </c>
      <c r="D23" s="9" t="s">
        <v>6</v>
      </c>
      <c r="E23" s="9">
        <f>'Detalle editable'!E21</f>
        <v>10</v>
      </c>
      <c r="F23" s="9">
        <f>'Detalle editable'!F21</f>
        <v>11</v>
      </c>
      <c r="G23" s="9">
        <f t="shared" si="0"/>
        <v>2</v>
      </c>
      <c r="H23" s="43">
        <v>46323</v>
      </c>
      <c r="I23" s="43">
        <v>46332</v>
      </c>
      <c r="J23" s="9" t="s">
        <v>134</v>
      </c>
      <c r="K23" s="10" t="str">
        <f t="shared" si="3"/>
        <v/>
      </c>
      <c r="L23" s="10" t="str">
        <f t="shared" si="3"/>
        <v/>
      </c>
      <c r="M23" s="10" t="str">
        <f t="shared" si="3"/>
        <v/>
      </c>
      <c r="N23" s="10" t="str">
        <f t="shared" si="3"/>
        <v/>
      </c>
      <c r="O23" s="10" t="str">
        <f t="shared" si="3"/>
        <v/>
      </c>
      <c r="P23" s="10" t="str">
        <f t="shared" si="3"/>
        <v/>
      </c>
      <c r="Q23" s="10" t="str">
        <f t="shared" si="3"/>
        <v/>
      </c>
      <c r="R23" s="10" t="str">
        <f t="shared" si="3"/>
        <v/>
      </c>
      <c r="S23" s="10" t="str">
        <f t="shared" si="3"/>
        <v/>
      </c>
      <c r="T23" s="10">
        <f t="shared" si="3"/>
        <v>1</v>
      </c>
      <c r="U23" s="10">
        <f t="shared" si="4"/>
        <v>1</v>
      </c>
      <c r="V23" s="10" t="str">
        <f t="shared" si="4"/>
        <v/>
      </c>
      <c r="W23" s="10" t="str">
        <f t="shared" si="4"/>
        <v/>
      </c>
      <c r="X23" s="10" t="str">
        <f t="shared" si="4"/>
        <v/>
      </c>
      <c r="Y23" s="10" t="str">
        <f t="shared" si="4"/>
        <v/>
      </c>
      <c r="Z23" s="10" t="str">
        <f t="shared" si="4"/>
        <v/>
      </c>
      <c r="AA23" s="10" t="str">
        <f t="shared" si="4"/>
        <v/>
      </c>
      <c r="AB23" s="10" t="str">
        <f t="shared" si="4"/>
        <v/>
      </c>
    </row>
    <row r="24" spans="1:28" ht="27.95" customHeight="1">
      <c r="A24" s="4">
        <v>19</v>
      </c>
      <c r="B24" s="6" t="s">
        <v>32</v>
      </c>
      <c r="C24" s="6" t="s">
        <v>38</v>
      </c>
      <c r="D24" s="9" t="s">
        <v>6</v>
      </c>
      <c r="E24" s="9">
        <f>'Detalle editable'!E22</f>
        <v>11</v>
      </c>
      <c r="F24" s="9">
        <f>'Detalle editable'!F22</f>
        <v>12</v>
      </c>
      <c r="G24" s="9">
        <f t="shared" si="0"/>
        <v>2</v>
      </c>
      <c r="H24" s="43">
        <v>46330</v>
      </c>
      <c r="I24" s="43">
        <v>46339</v>
      </c>
      <c r="J24" s="9" t="s">
        <v>132</v>
      </c>
      <c r="K24" s="10" t="str">
        <f t="shared" si="3"/>
        <v/>
      </c>
      <c r="L24" s="10" t="str">
        <f t="shared" si="3"/>
        <v/>
      </c>
      <c r="M24" s="10" t="str">
        <f t="shared" si="3"/>
        <v/>
      </c>
      <c r="N24" s="10" t="str">
        <f t="shared" si="3"/>
        <v/>
      </c>
      <c r="O24" s="10" t="str">
        <f t="shared" si="3"/>
        <v/>
      </c>
      <c r="P24" s="10" t="str">
        <f t="shared" si="3"/>
        <v/>
      </c>
      <c r="Q24" s="10" t="str">
        <f t="shared" si="3"/>
        <v/>
      </c>
      <c r="R24" s="10" t="str">
        <f t="shared" si="3"/>
        <v/>
      </c>
      <c r="S24" s="10" t="str">
        <f t="shared" si="3"/>
        <v/>
      </c>
      <c r="T24" s="10" t="str">
        <f t="shared" si="3"/>
        <v/>
      </c>
      <c r="U24" s="10">
        <f t="shared" si="4"/>
        <v>1</v>
      </c>
      <c r="V24" s="10">
        <f t="shared" si="4"/>
        <v>1</v>
      </c>
      <c r="W24" s="10" t="str">
        <f t="shared" si="4"/>
        <v/>
      </c>
      <c r="X24" s="10" t="str">
        <f t="shared" si="4"/>
        <v/>
      </c>
      <c r="Y24" s="10" t="str">
        <f t="shared" si="4"/>
        <v/>
      </c>
      <c r="Z24" s="10" t="str">
        <f t="shared" si="4"/>
        <v/>
      </c>
      <c r="AA24" s="10" t="str">
        <f t="shared" si="4"/>
        <v/>
      </c>
      <c r="AB24" s="10" t="str">
        <f t="shared" si="4"/>
        <v/>
      </c>
    </row>
    <row r="25" spans="1:28" ht="27.95" customHeight="1">
      <c r="A25" s="4">
        <v>20</v>
      </c>
      <c r="B25" s="6" t="s">
        <v>32</v>
      </c>
      <c r="C25" s="6" t="s">
        <v>39</v>
      </c>
      <c r="D25" s="9" t="s">
        <v>6</v>
      </c>
      <c r="E25" s="9">
        <f>'Detalle editable'!E23</f>
        <v>10</v>
      </c>
      <c r="F25" s="9">
        <f>'Detalle editable'!F23</f>
        <v>12</v>
      </c>
      <c r="G25" s="9">
        <f t="shared" si="0"/>
        <v>3</v>
      </c>
      <c r="H25" s="43">
        <v>46323</v>
      </c>
      <c r="I25" s="43">
        <v>46339</v>
      </c>
      <c r="J25" s="9" t="s">
        <v>132</v>
      </c>
      <c r="K25" s="10" t="str">
        <f t="shared" si="3"/>
        <v/>
      </c>
      <c r="L25" s="10" t="str">
        <f t="shared" si="3"/>
        <v/>
      </c>
      <c r="M25" s="10" t="str">
        <f t="shared" si="3"/>
        <v/>
      </c>
      <c r="N25" s="10" t="str">
        <f t="shared" si="3"/>
        <v/>
      </c>
      <c r="O25" s="10" t="str">
        <f t="shared" si="3"/>
        <v/>
      </c>
      <c r="P25" s="10" t="str">
        <f t="shared" si="3"/>
        <v/>
      </c>
      <c r="Q25" s="10" t="str">
        <f t="shared" si="3"/>
        <v/>
      </c>
      <c r="R25" s="10" t="str">
        <f t="shared" si="3"/>
        <v/>
      </c>
      <c r="S25" s="10" t="str">
        <f t="shared" si="3"/>
        <v/>
      </c>
      <c r="T25" s="10">
        <f t="shared" si="3"/>
        <v>1</v>
      </c>
      <c r="U25" s="10">
        <f t="shared" si="4"/>
        <v>1</v>
      </c>
      <c r="V25" s="10">
        <f t="shared" si="4"/>
        <v>1</v>
      </c>
      <c r="W25" s="10" t="str">
        <f t="shared" si="4"/>
        <v/>
      </c>
      <c r="X25" s="10" t="str">
        <f t="shared" si="4"/>
        <v/>
      </c>
      <c r="Y25" s="10" t="str">
        <f t="shared" si="4"/>
        <v/>
      </c>
      <c r="Z25" s="10" t="str">
        <f t="shared" si="4"/>
        <v/>
      </c>
      <c r="AA25" s="10" t="str">
        <f t="shared" si="4"/>
        <v/>
      </c>
      <c r="AB25" s="10" t="str">
        <f t="shared" si="4"/>
        <v/>
      </c>
    </row>
    <row r="26" spans="1:28" ht="27.95" customHeight="1">
      <c r="A26" s="4">
        <v>21</v>
      </c>
      <c r="B26" s="6" t="s">
        <v>32</v>
      </c>
      <c r="C26" s="6" t="s">
        <v>40</v>
      </c>
      <c r="D26" s="9" t="s">
        <v>6</v>
      </c>
      <c r="E26" s="9">
        <f>'Detalle editable'!E24</f>
        <v>11</v>
      </c>
      <c r="F26" s="9">
        <f>'Detalle editable'!F24</f>
        <v>12</v>
      </c>
      <c r="G26" s="9">
        <f t="shared" si="0"/>
        <v>2</v>
      </c>
      <c r="H26" s="43">
        <v>46330</v>
      </c>
      <c r="I26" s="43">
        <v>46339</v>
      </c>
      <c r="J26" s="9" t="s">
        <v>134</v>
      </c>
      <c r="K26" s="10" t="str">
        <f t="shared" ref="K26:T39" si="5">IF(AND(K$5&gt;=$E26,K$5&lt;=$F26),IF($D26="Hito",2,1),"")</f>
        <v/>
      </c>
      <c r="L26" s="10" t="str">
        <f t="shared" si="5"/>
        <v/>
      </c>
      <c r="M26" s="10" t="str">
        <f t="shared" si="5"/>
        <v/>
      </c>
      <c r="N26" s="10" t="str">
        <f t="shared" si="5"/>
        <v/>
      </c>
      <c r="O26" s="10" t="str">
        <f t="shared" si="5"/>
        <v/>
      </c>
      <c r="P26" s="10" t="str">
        <f t="shared" si="5"/>
        <v/>
      </c>
      <c r="Q26" s="10" t="str">
        <f t="shared" si="5"/>
        <v/>
      </c>
      <c r="R26" s="10" t="str">
        <f t="shared" si="5"/>
        <v/>
      </c>
      <c r="S26" s="10" t="str">
        <f t="shared" si="5"/>
        <v/>
      </c>
      <c r="T26" s="10" t="str">
        <f t="shared" si="5"/>
        <v/>
      </c>
      <c r="U26" s="10">
        <f t="shared" ref="U26:AB39" si="6">IF(AND(U$5&gt;=$E26,U$5&lt;=$F26),IF($D26="Hito",2,1),"")</f>
        <v>1</v>
      </c>
      <c r="V26" s="10">
        <f t="shared" si="6"/>
        <v>1</v>
      </c>
      <c r="W26" s="10" t="str">
        <f t="shared" si="6"/>
        <v/>
      </c>
      <c r="X26" s="10" t="str">
        <f t="shared" si="6"/>
        <v/>
      </c>
      <c r="Y26" s="10" t="str">
        <f t="shared" si="6"/>
        <v/>
      </c>
      <c r="Z26" s="10" t="str">
        <f t="shared" si="6"/>
        <v/>
      </c>
      <c r="AA26" s="10" t="str">
        <f t="shared" si="6"/>
        <v/>
      </c>
      <c r="AB26" s="10" t="str">
        <f t="shared" si="6"/>
        <v/>
      </c>
    </row>
    <row r="27" spans="1:28" ht="27.95" customHeight="1">
      <c r="A27" s="11">
        <v>22</v>
      </c>
      <c r="B27" s="12" t="s">
        <v>22</v>
      </c>
      <c r="C27" s="12" t="s">
        <v>41</v>
      </c>
      <c r="D27" s="13" t="s">
        <v>24</v>
      </c>
      <c r="E27" s="13">
        <f>'Detalle editable'!E25</f>
        <v>12</v>
      </c>
      <c r="F27" s="13">
        <f>'Detalle editable'!F25</f>
        <v>12</v>
      </c>
      <c r="G27" s="13">
        <f t="shared" si="0"/>
        <v>1</v>
      </c>
      <c r="H27" s="44">
        <v>46339</v>
      </c>
      <c r="I27" s="44">
        <v>46339</v>
      </c>
      <c r="J27" s="13" t="str">
        <f>IF('Detalle editable'!I25="","",'Detalle editable'!I25)</f>
        <v/>
      </c>
      <c r="K27" s="10" t="str">
        <f t="shared" si="5"/>
        <v/>
      </c>
      <c r="L27" s="10" t="str">
        <f t="shared" si="5"/>
        <v/>
      </c>
      <c r="M27" s="10" t="str">
        <f t="shared" si="5"/>
        <v/>
      </c>
      <c r="N27" s="10" t="str">
        <f t="shared" si="5"/>
        <v/>
      </c>
      <c r="O27" s="10" t="str">
        <f t="shared" si="5"/>
        <v/>
      </c>
      <c r="P27" s="10" t="str">
        <f t="shared" si="5"/>
        <v/>
      </c>
      <c r="Q27" s="10" t="str">
        <f t="shared" si="5"/>
        <v/>
      </c>
      <c r="R27" s="10" t="str">
        <f t="shared" si="5"/>
        <v/>
      </c>
      <c r="S27" s="10" t="str">
        <f t="shared" si="5"/>
        <v/>
      </c>
      <c r="T27" s="10" t="str">
        <f t="shared" si="5"/>
        <v/>
      </c>
      <c r="U27" s="10" t="str">
        <f t="shared" si="6"/>
        <v/>
      </c>
      <c r="V27" s="10">
        <f t="shared" si="6"/>
        <v>2</v>
      </c>
      <c r="W27" s="10" t="str">
        <f t="shared" si="6"/>
        <v/>
      </c>
      <c r="X27" s="10" t="str">
        <f t="shared" si="6"/>
        <v/>
      </c>
      <c r="Y27" s="10" t="str">
        <f t="shared" si="6"/>
        <v/>
      </c>
      <c r="Z27" s="10" t="str">
        <f t="shared" si="6"/>
        <v/>
      </c>
      <c r="AA27" s="10" t="str">
        <f t="shared" si="6"/>
        <v/>
      </c>
      <c r="AB27" s="10" t="str">
        <f t="shared" si="6"/>
        <v/>
      </c>
    </row>
    <row r="28" spans="1:28" ht="27.95" customHeight="1">
      <c r="A28" s="4">
        <v>23</v>
      </c>
      <c r="B28" s="6" t="s">
        <v>42</v>
      </c>
      <c r="C28" s="6" t="s">
        <v>43</v>
      </c>
      <c r="D28" s="9" t="s">
        <v>6</v>
      </c>
      <c r="E28" s="9">
        <f>'Detalle editable'!E26</f>
        <v>12</v>
      </c>
      <c r="F28" s="9">
        <f>'Detalle editable'!F26</f>
        <v>13</v>
      </c>
      <c r="G28" s="9">
        <f t="shared" si="0"/>
        <v>2</v>
      </c>
      <c r="H28" s="43">
        <v>46337</v>
      </c>
      <c r="I28" s="43">
        <v>46346</v>
      </c>
      <c r="J28" s="9" t="s">
        <v>132</v>
      </c>
      <c r="K28" s="10" t="str">
        <f t="shared" si="5"/>
        <v/>
      </c>
      <c r="L28" s="10" t="str">
        <f t="shared" si="5"/>
        <v/>
      </c>
      <c r="M28" s="10" t="str">
        <f t="shared" si="5"/>
        <v/>
      </c>
      <c r="N28" s="10" t="str">
        <f t="shared" si="5"/>
        <v/>
      </c>
      <c r="O28" s="10" t="str">
        <f t="shared" si="5"/>
        <v/>
      </c>
      <c r="P28" s="10" t="str">
        <f t="shared" si="5"/>
        <v/>
      </c>
      <c r="Q28" s="10" t="str">
        <f t="shared" si="5"/>
        <v/>
      </c>
      <c r="R28" s="10" t="str">
        <f t="shared" si="5"/>
        <v/>
      </c>
      <c r="S28" s="10" t="str">
        <f t="shared" si="5"/>
        <v/>
      </c>
      <c r="T28" s="10" t="str">
        <f t="shared" si="5"/>
        <v/>
      </c>
      <c r="U28" s="10" t="str">
        <f t="shared" si="6"/>
        <v/>
      </c>
      <c r="V28" s="10">
        <f t="shared" si="6"/>
        <v>1</v>
      </c>
      <c r="W28" s="10">
        <f t="shared" si="6"/>
        <v>1</v>
      </c>
      <c r="X28" s="10" t="str">
        <f t="shared" si="6"/>
        <v/>
      </c>
      <c r="Y28" s="10" t="str">
        <f t="shared" si="6"/>
        <v/>
      </c>
      <c r="Z28" s="10" t="str">
        <f t="shared" si="6"/>
        <v/>
      </c>
      <c r="AA28" s="10" t="str">
        <f t="shared" si="6"/>
        <v/>
      </c>
      <c r="AB28" s="10" t="str">
        <f t="shared" si="6"/>
        <v/>
      </c>
    </row>
    <row r="29" spans="1:28" ht="27.95" customHeight="1">
      <c r="A29" s="4">
        <v>24</v>
      </c>
      <c r="B29" s="6" t="s">
        <v>42</v>
      </c>
      <c r="C29" s="6" t="s">
        <v>44</v>
      </c>
      <c r="D29" s="9" t="s">
        <v>6</v>
      </c>
      <c r="E29" s="9">
        <f>'Detalle editable'!E27</f>
        <v>12</v>
      </c>
      <c r="F29" s="9">
        <f>'Detalle editable'!F27</f>
        <v>13</v>
      </c>
      <c r="G29" s="9">
        <f t="shared" si="0"/>
        <v>2</v>
      </c>
      <c r="H29" s="43">
        <v>46337</v>
      </c>
      <c r="I29" s="43">
        <v>46346</v>
      </c>
      <c r="J29" s="9" t="s">
        <v>133</v>
      </c>
      <c r="K29" s="10" t="str">
        <f t="shared" si="5"/>
        <v/>
      </c>
      <c r="L29" s="10" t="str">
        <f t="shared" si="5"/>
        <v/>
      </c>
      <c r="M29" s="10" t="str">
        <f t="shared" si="5"/>
        <v/>
      </c>
      <c r="N29" s="10" t="str">
        <f t="shared" si="5"/>
        <v/>
      </c>
      <c r="O29" s="10" t="str">
        <f t="shared" si="5"/>
        <v/>
      </c>
      <c r="P29" s="10" t="str">
        <f t="shared" si="5"/>
        <v/>
      </c>
      <c r="Q29" s="10" t="str">
        <f t="shared" si="5"/>
        <v/>
      </c>
      <c r="R29" s="10" t="str">
        <f t="shared" si="5"/>
        <v/>
      </c>
      <c r="S29" s="10" t="str">
        <f t="shared" si="5"/>
        <v/>
      </c>
      <c r="T29" s="10" t="str">
        <f t="shared" si="5"/>
        <v/>
      </c>
      <c r="U29" s="10" t="str">
        <f t="shared" si="6"/>
        <v/>
      </c>
      <c r="V29" s="10">
        <f t="shared" si="6"/>
        <v>1</v>
      </c>
      <c r="W29" s="10">
        <f t="shared" si="6"/>
        <v>1</v>
      </c>
      <c r="X29" s="10" t="str">
        <f t="shared" si="6"/>
        <v/>
      </c>
      <c r="Y29" s="10" t="str">
        <f t="shared" si="6"/>
        <v/>
      </c>
      <c r="Z29" s="10" t="str">
        <f t="shared" si="6"/>
        <v/>
      </c>
      <c r="AA29" s="10" t="str">
        <f t="shared" si="6"/>
        <v/>
      </c>
      <c r="AB29" s="10" t="str">
        <f t="shared" si="6"/>
        <v/>
      </c>
    </row>
    <row r="30" spans="1:28" ht="27.95" customHeight="1">
      <c r="A30" s="4">
        <v>25</v>
      </c>
      <c r="B30" s="6" t="s">
        <v>45</v>
      </c>
      <c r="C30" s="6" t="s">
        <v>46</v>
      </c>
      <c r="D30" s="9" t="s">
        <v>6</v>
      </c>
      <c r="E30" s="9">
        <f>'Detalle editable'!E28</f>
        <v>9</v>
      </c>
      <c r="F30" s="9">
        <f>'Detalle editable'!F28</f>
        <v>13</v>
      </c>
      <c r="G30" s="9">
        <f t="shared" si="0"/>
        <v>5</v>
      </c>
      <c r="H30" s="43">
        <v>46316</v>
      </c>
      <c r="I30" s="43">
        <v>46346</v>
      </c>
      <c r="J30" s="9" t="s">
        <v>133</v>
      </c>
      <c r="K30" s="10" t="str">
        <f t="shared" si="5"/>
        <v/>
      </c>
      <c r="L30" s="10" t="str">
        <f t="shared" si="5"/>
        <v/>
      </c>
      <c r="M30" s="10" t="str">
        <f t="shared" si="5"/>
        <v/>
      </c>
      <c r="N30" s="10" t="str">
        <f t="shared" si="5"/>
        <v/>
      </c>
      <c r="O30" s="10" t="str">
        <f t="shared" si="5"/>
        <v/>
      </c>
      <c r="P30" s="10" t="str">
        <f t="shared" si="5"/>
        <v/>
      </c>
      <c r="Q30" s="10" t="str">
        <f t="shared" si="5"/>
        <v/>
      </c>
      <c r="R30" s="10" t="str">
        <f t="shared" si="5"/>
        <v/>
      </c>
      <c r="S30" s="10">
        <f t="shared" si="5"/>
        <v>1</v>
      </c>
      <c r="T30" s="10">
        <f t="shared" si="5"/>
        <v>1</v>
      </c>
      <c r="U30" s="10">
        <f t="shared" si="6"/>
        <v>1</v>
      </c>
      <c r="V30" s="10">
        <f t="shared" si="6"/>
        <v>1</v>
      </c>
      <c r="W30" s="10">
        <f t="shared" si="6"/>
        <v>1</v>
      </c>
      <c r="X30" s="10" t="str">
        <f t="shared" si="6"/>
        <v/>
      </c>
      <c r="Y30" s="10" t="str">
        <f t="shared" si="6"/>
        <v/>
      </c>
      <c r="Z30" s="10" t="str">
        <f t="shared" si="6"/>
        <v/>
      </c>
      <c r="AA30" s="10" t="str">
        <f t="shared" si="6"/>
        <v/>
      </c>
      <c r="AB30" s="10" t="str">
        <f t="shared" si="6"/>
        <v/>
      </c>
    </row>
    <row r="31" spans="1:28" ht="27.95" customHeight="1">
      <c r="A31" s="4">
        <v>26</v>
      </c>
      <c r="B31" s="6" t="s">
        <v>42</v>
      </c>
      <c r="C31" s="6" t="s">
        <v>47</v>
      </c>
      <c r="D31" s="9" t="s">
        <v>6</v>
      </c>
      <c r="E31" s="9">
        <f>'Detalle editable'!E29</f>
        <v>13</v>
      </c>
      <c r="F31" s="9">
        <f>'Detalle editable'!F29</f>
        <v>14</v>
      </c>
      <c r="G31" s="9">
        <f t="shared" si="0"/>
        <v>2</v>
      </c>
      <c r="H31" s="43">
        <v>46344</v>
      </c>
      <c r="I31" s="43">
        <v>46353</v>
      </c>
      <c r="J31" s="9" t="s">
        <v>132</v>
      </c>
      <c r="K31" s="10" t="str">
        <f t="shared" si="5"/>
        <v/>
      </c>
      <c r="L31" s="10" t="str">
        <f t="shared" si="5"/>
        <v/>
      </c>
      <c r="M31" s="10" t="str">
        <f t="shared" si="5"/>
        <v/>
      </c>
      <c r="N31" s="10" t="str">
        <f t="shared" si="5"/>
        <v/>
      </c>
      <c r="O31" s="10" t="str">
        <f t="shared" si="5"/>
        <v/>
      </c>
      <c r="P31" s="10" t="str">
        <f t="shared" si="5"/>
        <v/>
      </c>
      <c r="Q31" s="10" t="str">
        <f t="shared" si="5"/>
        <v/>
      </c>
      <c r="R31" s="10" t="str">
        <f t="shared" si="5"/>
        <v/>
      </c>
      <c r="S31" s="10" t="str">
        <f t="shared" si="5"/>
        <v/>
      </c>
      <c r="T31" s="10" t="str">
        <f t="shared" si="5"/>
        <v/>
      </c>
      <c r="U31" s="10" t="str">
        <f t="shared" si="6"/>
        <v/>
      </c>
      <c r="V31" s="10" t="str">
        <f t="shared" si="6"/>
        <v/>
      </c>
      <c r="W31" s="10">
        <f t="shared" si="6"/>
        <v>1</v>
      </c>
      <c r="X31" s="10">
        <f t="shared" si="6"/>
        <v>1</v>
      </c>
      <c r="Y31" s="10" t="str">
        <f t="shared" si="6"/>
        <v/>
      </c>
      <c r="Z31" s="10" t="str">
        <f t="shared" si="6"/>
        <v/>
      </c>
      <c r="AA31" s="10" t="str">
        <f t="shared" si="6"/>
        <v/>
      </c>
      <c r="AB31" s="10" t="str">
        <f t="shared" si="6"/>
        <v/>
      </c>
    </row>
    <row r="32" spans="1:28" ht="27.95" customHeight="1">
      <c r="A32" s="4">
        <v>27</v>
      </c>
      <c r="B32" s="6" t="s">
        <v>48</v>
      </c>
      <c r="C32" s="6" t="s">
        <v>49</v>
      </c>
      <c r="D32" s="9" t="s">
        <v>6</v>
      </c>
      <c r="E32" s="9">
        <f>'Detalle editable'!E30</f>
        <v>14</v>
      </c>
      <c r="F32" s="9">
        <f>'Detalle editable'!F30</f>
        <v>14</v>
      </c>
      <c r="G32" s="9">
        <f t="shared" si="0"/>
        <v>1</v>
      </c>
      <c r="H32" s="43">
        <v>46351</v>
      </c>
      <c r="I32" s="43">
        <v>46353</v>
      </c>
      <c r="J32" s="9" t="s">
        <v>133</v>
      </c>
      <c r="K32" s="10" t="str">
        <f t="shared" si="5"/>
        <v/>
      </c>
      <c r="L32" s="10" t="str">
        <f t="shared" si="5"/>
        <v/>
      </c>
      <c r="M32" s="10" t="str">
        <f t="shared" si="5"/>
        <v/>
      </c>
      <c r="N32" s="10" t="str">
        <f t="shared" si="5"/>
        <v/>
      </c>
      <c r="O32" s="10" t="str">
        <f t="shared" si="5"/>
        <v/>
      </c>
      <c r="P32" s="10" t="str">
        <f t="shared" si="5"/>
        <v/>
      </c>
      <c r="Q32" s="10" t="str">
        <f t="shared" si="5"/>
        <v/>
      </c>
      <c r="R32" s="10" t="str">
        <f t="shared" si="5"/>
        <v/>
      </c>
      <c r="S32" s="10" t="str">
        <f t="shared" si="5"/>
        <v/>
      </c>
      <c r="T32" s="10" t="str">
        <f t="shared" si="5"/>
        <v/>
      </c>
      <c r="U32" s="10" t="str">
        <f t="shared" si="6"/>
        <v/>
      </c>
      <c r="V32" s="10" t="str">
        <f t="shared" si="6"/>
        <v/>
      </c>
      <c r="W32" s="10" t="str">
        <f t="shared" si="6"/>
        <v/>
      </c>
      <c r="X32" s="10">
        <f t="shared" si="6"/>
        <v>1</v>
      </c>
      <c r="Y32" s="10" t="str">
        <f t="shared" si="6"/>
        <v/>
      </c>
      <c r="Z32" s="10" t="str">
        <f t="shared" si="6"/>
        <v/>
      </c>
      <c r="AA32" s="10" t="str">
        <f t="shared" si="6"/>
        <v/>
      </c>
      <c r="AB32" s="10" t="str">
        <f t="shared" si="6"/>
        <v/>
      </c>
    </row>
    <row r="33" spans="1:28" ht="27.95" customHeight="1">
      <c r="A33" s="4">
        <v>28</v>
      </c>
      <c r="B33" s="6" t="s">
        <v>50</v>
      </c>
      <c r="C33" s="6" t="s">
        <v>51</v>
      </c>
      <c r="D33" s="9" t="s">
        <v>6</v>
      </c>
      <c r="E33" s="9">
        <f>'Detalle editable'!E31</f>
        <v>14</v>
      </c>
      <c r="F33" s="9">
        <f>'Detalle editable'!F31</f>
        <v>15</v>
      </c>
      <c r="G33" s="9">
        <f t="shared" si="0"/>
        <v>2</v>
      </c>
      <c r="H33" s="43">
        <v>46351</v>
      </c>
      <c r="I33" s="43">
        <v>46360</v>
      </c>
      <c r="J33" s="9" t="s">
        <v>134</v>
      </c>
      <c r="K33" s="10" t="str">
        <f t="shared" si="5"/>
        <v/>
      </c>
      <c r="L33" s="10" t="str">
        <f t="shared" si="5"/>
        <v/>
      </c>
      <c r="M33" s="10" t="str">
        <f t="shared" si="5"/>
        <v/>
      </c>
      <c r="N33" s="10" t="str">
        <f t="shared" si="5"/>
        <v/>
      </c>
      <c r="O33" s="10" t="str">
        <f t="shared" si="5"/>
        <v/>
      </c>
      <c r="P33" s="10" t="str">
        <f t="shared" si="5"/>
        <v/>
      </c>
      <c r="Q33" s="10" t="str">
        <f t="shared" si="5"/>
        <v/>
      </c>
      <c r="R33" s="10" t="str">
        <f t="shared" si="5"/>
        <v/>
      </c>
      <c r="S33" s="10" t="str">
        <f t="shared" si="5"/>
        <v/>
      </c>
      <c r="T33" s="10" t="str">
        <f t="shared" si="5"/>
        <v/>
      </c>
      <c r="U33" s="10" t="str">
        <f t="shared" si="6"/>
        <v/>
      </c>
      <c r="V33" s="10" t="str">
        <f t="shared" si="6"/>
        <v/>
      </c>
      <c r="W33" s="10" t="str">
        <f t="shared" si="6"/>
        <v/>
      </c>
      <c r="X33" s="10">
        <f t="shared" si="6"/>
        <v>1</v>
      </c>
      <c r="Y33" s="10">
        <f t="shared" si="6"/>
        <v>1</v>
      </c>
      <c r="Z33" s="10" t="str">
        <f t="shared" si="6"/>
        <v/>
      </c>
      <c r="AA33" s="10" t="str">
        <f t="shared" si="6"/>
        <v/>
      </c>
      <c r="AB33" s="10" t="str">
        <f t="shared" si="6"/>
        <v/>
      </c>
    </row>
    <row r="34" spans="1:28" ht="27.95" customHeight="1">
      <c r="A34" s="4">
        <v>29</v>
      </c>
      <c r="B34" s="6" t="s">
        <v>52</v>
      </c>
      <c r="C34" s="6" t="s">
        <v>53</v>
      </c>
      <c r="D34" s="9" t="s">
        <v>6</v>
      </c>
      <c r="E34" s="9">
        <f>'Detalle editable'!E32</f>
        <v>15</v>
      </c>
      <c r="F34" s="9">
        <f>'Detalle editable'!F32</f>
        <v>16</v>
      </c>
      <c r="G34" s="9">
        <f t="shared" si="0"/>
        <v>2</v>
      </c>
      <c r="H34" s="43">
        <v>46358</v>
      </c>
      <c r="I34" s="43">
        <v>46367</v>
      </c>
      <c r="J34" s="9" t="s">
        <v>134</v>
      </c>
      <c r="K34" s="10" t="str">
        <f t="shared" si="5"/>
        <v/>
      </c>
      <c r="L34" s="10" t="str">
        <f t="shared" si="5"/>
        <v/>
      </c>
      <c r="M34" s="10" t="str">
        <f t="shared" si="5"/>
        <v/>
      </c>
      <c r="N34" s="10" t="str">
        <f t="shared" si="5"/>
        <v/>
      </c>
      <c r="O34" s="10" t="str">
        <f t="shared" si="5"/>
        <v/>
      </c>
      <c r="P34" s="10" t="str">
        <f t="shared" si="5"/>
        <v/>
      </c>
      <c r="Q34" s="10" t="str">
        <f t="shared" si="5"/>
        <v/>
      </c>
      <c r="R34" s="10" t="str">
        <f t="shared" si="5"/>
        <v/>
      </c>
      <c r="S34" s="10" t="str">
        <f t="shared" si="5"/>
        <v/>
      </c>
      <c r="T34" s="10" t="str">
        <f t="shared" si="5"/>
        <v/>
      </c>
      <c r="U34" s="10" t="str">
        <f t="shared" si="6"/>
        <v/>
      </c>
      <c r="V34" s="10" t="str">
        <f t="shared" si="6"/>
        <v/>
      </c>
      <c r="W34" s="10" t="str">
        <f t="shared" si="6"/>
        <v/>
      </c>
      <c r="X34" s="10" t="str">
        <f t="shared" si="6"/>
        <v/>
      </c>
      <c r="Y34" s="10">
        <f t="shared" si="6"/>
        <v>1</v>
      </c>
      <c r="Z34" s="10">
        <f t="shared" si="6"/>
        <v>1</v>
      </c>
      <c r="AA34" s="10" t="str">
        <f t="shared" si="6"/>
        <v/>
      </c>
      <c r="AB34" s="10" t="str">
        <f t="shared" si="6"/>
        <v/>
      </c>
    </row>
    <row r="35" spans="1:28" ht="27.95" customHeight="1">
      <c r="A35" s="4">
        <v>30</v>
      </c>
      <c r="B35" s="6" t="s">
        <v>52</v>
      </c>
      <c r="C35" s="6" t="s">
        <v>54</v>
      </c>
      <c r="D35" s="9" t="s">
        <v>6</v>
      </c>
      <c r="E35" s="9">
        <f>'Detalle editable'!E33</f>
        <v>16</v>
      </c>
      <c r="F35" s="9">
        <f>'Detalle editable'!F33</f>
        <v>17</v>
      </c>
      <c r="G35" s="9">
        <f t="shared" si="0"/>
        <v>2</v>
      </c>
      <c r="H35" s="43">
        <v>46365</v>
      </c>
      <c r="I35" s="43">
        <v>46374</v>
      </c>
      <c r="J35" s="9" t="s">
        <v>132</v>
      </c>
      <c r="K35" s="10" t="str">
        <f t="shared" si="5"/>
        <v/>
      </c>
      <c r="L35" s="10" t="str">
        <f t="shared" si="5"/>
        <v/>
      </c>
      <c r="M35" s="10" t="str">
        <f t="shared" si="5"/>
        <v/>
      </c>
      <c r="N35" s="10" t="str">
        <f t="shared" si="5"/>
        <v/>
      </c>
      <c r="O35" s="10" t="str">
        <f t="shared" si="5"/>
        <v/>
      </c>
      <c r="P35" s="10" t="str">
        <f t="shared" si="5"/>
        <v/>
      </c>
      <c r="Q35" s="10" t="str">
        <f t="shared" si="5"/>
        <v/>
      </c>
      <c r="R35" s="10" t="str">
        <f t="shared" si="5"/>
        <v/>
      </c>
      <c r="S35" s="10" t="str">
        <f t="shared" si="5"/>
        <v/>
      </c>
      <c r="T35" s="10" t="str">
        <f t="shared" si="5"/>
        <v/>
      </c>
      <c r="U35" s="10" t="str">
        <f t="shared" si="6"/>
        <v/>
      </c>
      <c r="V35" s="10" t="str">
        <f t="shared" si="6"/>
        <v/>
      </c>
      <c r="W35" s="10" t="str">
        <f t="shared" si="6"/>
        <v/>
      </c>
      <c r="X35" s="10" t="str">
        <f t="shared" si="6"/>
        <v/>
      </c>
      <c r="Y35" s="10" t="str">
        <f t="shared" si="6"/>
        <v/>
      </c>
      <c r="Z35" s="10">
        <f t="shared" si="6"/>
        <v>1</v>
      </c>
      <c r="AA35" s="10">
        <f t="shared" si="6"/>
        <v>1</v>
      </c>
      <c r="AB35" s="10" t="str">
        <f t="shared" si="6"/>
        <v/>
      </c>
    </row>
    <row r="36" spans="1:28" ht="27.95" customHeight="1">
      <c r="A36" s="4">
        <v>31</v>
      </c>
      <c r="B36" s="6" t="s">
        <v>55</v>
      </c>
      <c r="C36" s="6" t="s">
        <v>56</v>
      </c>
      <c r="D36" s="9" t="s">
        <v>6</v>
      </c>
      <c r="E36" s="9">
        <f>'Detalle editable'!E34</f>
        <v>16</v>
      </c>
      <c r="F36" s="9">
        <f>'Detalle editable'!F34</f>
        <v>17</v>
      </c>
      <c r="G36" s="9">
        <f t="shared" si="0"/>
        <v>2</v>
      </c>
      <c r="H36" s="43">
        <v>46365</v>
      </c>
      <c r="I36" s="43">
        <v>46374</v>
      </c>
      <c r="J36" s="9" t="s">
        <v>133</v>
      </c>
      <c r="K36" s="10" t="str">
        <f t="shared" si="5"/>
        <v/>
      </c>
      <c r="L36" s="10" t="str">
        <f t="shared" si="5"/>
        <v/>
      </c>
      <c r="M36" s="10" t="str">
        <f t="shared" si="5"/>
        <v/>
      </c>
      <c r="N36" s="10" t="str">
        <f t="shared" si="5"/>
        <v/>
      </c>
      <c r="O36" s="10" t="str">
        <f t="shared" si="5"/>
        <v/>
      </c>
      <c r="P36" s="10" t="str">
        <f t="shared" si="5"/>
        <v/>
      </c>
      <c r="Q36" s="10" t="str">
        <f t="shared" si="5"/>
        <v/>
      </c>
      <c r="R36" s="10" t="str">
        <f t="shared" si="5"/>
        <v/>
      </c>
      <c r="S36" s="10" t="str">
        <f t="shared" si="5"/>
        <v/>
      </c>
      <c r="T36" s="10" t="str">
        <f t="shared" si="5"/>
        <v/>
      </c>
      <c r="U36" s="10" t="str">
        <f t="shared" si="6"/>
        <v/>
      </c>
      <c r="V36" s="10" t="str">
        <f t="shared" si="6"/>
        <v/>
      </c>
      <c r="W36" s="10" t="str">
        <f t="shared" si="6"/>
        <v/>
      </c>
      <c r="X36" s="10" t="str">
        <f t="shared" si="6"/>
        <v/>
      </c>
      <c r="Y36" s="10" t="str">
        <f t="shared" si="6"/>
        <v/>
      </c>
      <c r="Z36" s="10">
        <f t="shared" si="6"/>
        <v>1</v>
      </c>
      <c r="AA36" s="10">
        <f t="shared" si="6"/>
        <v>1</v>
      </c>
      <c r="AB36" s="10" t="str">
        <f t="shared" si="6"/>
        <v/>
      </c>
    </row>
    <row r="37" spans="1:28" ht="27.95" customHeight="1">
      <c r="A37" s="4">
        <v>32</v>
      </c>
      <c r="B37" s="6" t="s">
        <v>55</v>
      </c>
      <c r="C37" s="6" t="s">
        <v>57</v>
      </c>
      <c r="D37" s="9" t="s">
        <v>6</v>
      </c>
      <c r="E37" s="9">
        <f>'Detalle editable'!E35</f>
        <v>15</v>
      </c>
      <c r="F37" s="9">
        <f>'Detalle editable'!F35</f>
        <v>17</v>
      </c>
      <c r="G37" s="9">
        <f t="shared" si="0"/>
        <v>3</v>
      </c>
      <c r="H37" s="43">
        <v>46358</v>
      </c>
      <c r="I37" s="43">
        <v>46374</v>
      </c>
      <c r="J37" s="9" t="s">
        <v>133</v>
      </c>
      <c r="K37" s="10" t="str">
        <f t="shared" si="5"/>
        <v/>
      </c>
      <c r="L37" s="10" t="str">
        <f t="shared" si="5"/>
        <v/>
      </c>
      <c r="M37" s="10" t="str">
        <f t="shared" si="5"/>
        <v/>
      </c>
      <c r="N37" s="10" t="str">
        <f t="shared" si="5"/>
        <v/>
      </c>
      <c r="O37" s="10" t="str">
        <f t="shared" si="5"/>
        <v/>
      </c>
      <c r="P37" s="10" t="str">
        <f t="shared" si="5"/>
        <v/>
      </c>
      <c r="Q37" s="10" t="str">
        <f t="shared" si="5"/>
        <v/>
      </c>
      <c r="R37" s="10" t="str">
        <f t="shared" si="5"/>
        <v/>
      </c>
      <c r="S37" s="10" t="str">
        <f t="shared" si="5"/>
        <v/>
      </c>
      <c r="T37" s="10" t="str">
        <f t="shared" si="5"/>
        <v/>
      </c>
      <c r="U37" s="10" t="str">
        <f t="shared" si="6"/>
        <v/>
      </c>
      <c r="V37" s="10" t="str">
        <f t="shared" si="6"/>
        <v/>
      </c>
      <c r="W37" s="10" t="str">
        <f t="shared" si="6"/>
        <v/>
      </c>
      <c r="X37" s="10" t="str">
        <f t="shared" si="6"/>
        <v/>
      </c>
      <c r="Y37" s="10">
        <f t="shared" si="6"/>
        <v>1</v>
      </c>
      <c r="Z37" s="10">
        <f t="shared" si="6"/>
        <v>1</v>
      </c>
      <c r="AA37" s="10">
        <f t="shared" si="6"/>
        <v>1</v>
      </c>
      <c r="AB37" s="10" t="str">
        <f t="shared" si="6"/>
        <v/>
      </c>
    </row>
    <row r="38" spans="1:28" ht="27.95" customHeight="1">
      <c r="A38" s="4">
        <v>33</v>
      </c>
      <c r="B38" s="6" t="s">
        <v>55</v>
      </c>
      <c r="C38" s="6" t="s">
        <v>58</v>
      </c>
      <c r="D38" s="9" t="s">
        <v>6</v>
      </c>
      <c r="E38" s="9">
        <f>'Detalle editable'!E36</f>
        <v>17</v>
      </c>
      <c r="F38" s="9">
        <f>'Detalle editable'!F36</f>
        <v>18</v>
      </c>
      <c r="G38" s="9">
        <f t="shared" si="0"/>
        <v>2</v>
      </c>
      <c r="H38" s="43">
        <v>46372</v>
      </c>
      <c r="I38" s="43">
        <v>46379</v>
      </c>
      <c r="J38" s="9" t="s">
        <v>134</v>
      </c>
      <c r="K38" s="10" t="str">
        <f t="shared" si="5"/>
        <v/>
      </c>
      <c r="L38" s="10" t="str">
        <f t="shared" si="5"/>
        <v/>
      </c>
      <c r="M38" s="10" t="str">
        <f t="shared" si="5"/>
        <v/>
      </c>
      <c r="N38" s="10" t="str">
        <f t="shared" si="5"/>
        <v/>
      </c>
      <c r="O38" s="10" t="str">
        <f t="shared" si="5"/>
        <v/>
      </c>
      <c r="P38" s="10" t="str">
        <f t="shared" si="5"/>
        <v/>
      </c>
      <c r="Q38" s="10" t="str">
        <f t="shared" si="5"/>
        <v/>
      </c>
      <c r="R38" s="10" t="str">
        <f t="shared" si="5"/>
        <v/>
      </c>
      <c r="S38" s="10" t="str">
        <f t="shared" si="5"/>
        <v/>
      </c>
      <c r="T38" s="10" t="str">
        <f t="shared" si="5"/>
        <v/>
      </c>
      <c r="U38" s="10" t="str">
        <f t="shared" si="6"/>
        <v/>
      </c>
      <c r="V38" s="10" t="str">
        <f t="shared" si="6"/>
        <v/>
      </c>
      <c r="W38" s="10" t="str">
        <f t="shared" si="6"/>
        <v/>
      </c>
      <c r="X38" s="10" t="str">
        <f t="shared" si="6"/>
        <v/>
      </c>
      <c r="Y38" s="10" t="str">
        <f t="shared" si="6"/>
        <v/>
      </c>
      <c r="Z38" s="10" t="str">
        <f t="shared" si="6"/>
        <v/>
      </c>
      <c r="AA38" s="10">
        <f t="shared" si="6"/>
        <v>1</v>
      </c>
      <c r="AB38" s="10">
        <f t="shared" si="6"/>
        <v>1</v>
      </c>
    </row>
    <row r="39" spans="1:28" ht="27.95" customHeight="1">
      <c r="A39" s="14">
        <v>34</v>
      </c>
      <c r="B39" s="15" t="s">
        <v>22</v>
      </c>
      <c r="C39" s="15" t="s">
        <v>59</v>
      </c>
      <c r="D39" s="16" t="s">
        <v>24</v>
      </c>
      <c r="E39" s="16">
        <f>'Detalle editable'!E37</f>
        <v>18</v>
      </c>
      <c r="F39" s="16">
        <f>'Detalle editable'!F37</f>
        <v>18</v>
      </c>
      <c r="G39" s="16">
        <f t="shared" si="0"/>
        <v>1</v>
      </c>
      <c r="H39" s="45">
        <v>46379</v>
      </c>
      <c r="I39" s="45">
        <v>46379</v>
      </c>
      <c r="J39" s="16" t="str">
        <f>IF('Detalle editable'!I37="","",'Detalle editable'!I37)</f>
        <v/>
      </c>
      <c r="K39" s="10" t="str">
        <f t="shared" si="5"/>
        <v/>
      </c>
      <c r="L39" s="10" t="str">
        <f t="shared" si="5"/>
        <v/>
      </c>
      <c r="M39" s="10" t="str">
        <f t="shared" si="5"/>
        <v/>
      </c>
      <c r="N39" s="10" t="str">
        <f t="shared" si="5"/>
        <v/>
      </c>
      <c r="O39" s="10" t="str">
        <f t="shared" si="5"/>
        <v/>
      </c>
      <c r="P39" s="10" t="str">
        <f t="shared" si="5"/>
        <v/>
      </c>
      <c r="Q39" s="10" t="str">
        <f t="shared" si="5"/>
        <v/>
      </c>
      <c r="R39" s="10" t="str">
        <f t="shared" si="5"/>
        <v/>
      </c>
      <c r="S39" s="10" t="str">
        <f t="shared" si="5"/>
        <v/>
      </c>
      <c r="T39" s="10" t="str">
        <f t="shared" si="5"/>
        <v/>
      </c>
      <c r="U39" s="10" t="str">
        <f t="shared" si="6"/>
        <v/>
      </c>
      <c r="V39" s="10" t="str">
        <f t="shared" si="6"/>
        <v/>
      </c>
      <c r="W39" s="10" t="str">
        <f t="shared" si="6"/>
        <v/>
      </c>
      <c r="X39" s="10" t="str">
        <f t="shared" si="6"/>
        <v/>
      </c>
      <c r="Y39" s="10" t="str">
        <f t="shared" si="6"/>
        <v/>
      </c>
      <c r="Z39" s="10" t="str">
        <f t="shared" si="6"/>
        <v/>
      </c>
      <c r="AA39" s="10" t="str">
        <f t="shared" si="6"/>
        <v/>
      </c>
      <c r="AB39" s="10">
        <f t="shared" si="6"/>
        <v>2</v>
      </c>
    </row>
    <row r="42" spans="1:28" ht="15">
      <c r="A42" s="36" t="s">
        <v>60</v>
      </c>
      <c r="B42" s="36"/>
      <c r="C42" s="36"/>
      <c r="D42" s="35" t="s">
        <v>61</v>
      </c>
      <c r="E42" s="35"/>
      <c r="F42" s="35"/>
      <c r="G42" s="37" t="s">
        <v>22</v>
      </c>
      <c r="H42" s="37"/>
      <c r="I42" s="37"/>
      <c r="J42" s="37"/>
      <c r="K42" s="37"/>
    </row>
    <row r="44" spans="1:28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 spans="1:28">
      <c r="A45" s="38"/>
      <c r="B45" s="38"/>
      <c r="C45" s="38"/>
      <c r="D45" s="38"/>
      <c r="E45" s="38"/>
      <c r="F45" s="38"/>
      <c r="G45" s="38"/>
      <c r="H45" s="38"/>
      <c r="I45" s="38"/>
      <c r="J45" s="38"/>
    </row>
  </sheetData>
  <mergeCells count="8">
    <mergeCell ref="A44:J45"/>
    <mergeCell ref="A1:AB1"/>
    <mergeCell ref="A2:AB2"/>
    <mergeCell ref="A4:J4"/>
    <mergeCell ref="K4:AB4"/>
    <mergeCell ref="A42:C42"/>
    <mergeCell ref="D42:F42"/>
    <mergeCell ref="G42:K42"/>
  </mergeCells>
  <conditionalFormatting sqref="K6:AB39">
    <cfRule type="cellIs" dxfId="5" priority="1" operator="equal">
      <formula>1</formula>
    </cfRule>
    <cfRule type="cellIs" dxfId="4" priority="2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showGridLines="0" workbookViewId="0"/>
  </sheetViews>
  <sheetFormatPr baseColWidth="10" defaultColWidth="9" defaultRowHeight="14.25"/>
  <cols>
    <col min="1" max="1" width="6" customWidth="1"/>
    <col min="2" max="2" width="24" customWidth="1"/>
    <col min="3" max="3" width="48" customWidth="1"/>
    <col min="4" max="7" width="12" customWidth="1"/>
    <col min="8" max="8" width="42" customWidth="1"/>
    <col min="9" max="11" width="18" customWidth="1"/>
    <col min="12" max="13" width="15" customWidth="1"/>
  </cols>
  <sheetData>
    <row r="1" spans="1:13" ht="19.5">
      <c r="A1" s="39" t="s">
        <v>62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3" ht="30">
      <c r="A3" s="18" t="s">
        <v>4</v>
      </c>
      <c r="B3" s="18" t="s">
        <v>5</v>
      </c>
      <c r="C3" s="18" t="s">
        <v>6</v>
      </c>
      <c r="D3" s="18" t="s">
        <v>7</v>
      </c>
      <c r="E3" s="18" t="s">
        <v>63</v>
      </c>
      <c r="F3" s="18" t="s">
        <v>64</v>
      </c>
      <c r="G3" s="18" t="s">
        <v>10</v>
      </c>
      <c r="H3" s="18" t="s">
        <v>65</v>
      </c>
      <c r="I3" s="18" t="s">
        <v>11</v>
      </c>
      <c r="J3" s="18" t="s">
        <v>66</v>
      </c>
      <c r="K3" s="18" t="s">
        <v>67</v>
      </c>
      <c r="L3" s="31" t="s">
        <v>12</v>
      </c>
      <c r="M3" s="31" t="s">
        <v>13</v>
      </c>
    </row>
    <row r="4" spans="1:13" ht="30.95" customHeight="1">
      <c r="A4" s="22">
        <v>1</v>
      </c>
      <c r="B4" s="19" t="s">
        <v>14</v>
      </c>
      <c r="C4" s="19" t="s">
        <v>15</v>
      </c>
      <c r="D4" s="22" t="s">
        <v>6</v>
      </c>
      <c r="E4" s="22">
        <v>1</v>
      </c>
      <c r="F4" s="22">
        <v>18</v>
      </c>
      <c r="G4" s="22">
        <f t="shared" ref="G4:G37" si="0">F4-E4+1</f>
        <v>18</v>
      </c>
      <c r="H4" s="19" t="s">
        <v>68</v>
      </c>
      <c r="I4" s="22"/>
      <c r="J4" s="22" t="s">
        <v>69</v>
      </c>
      <c r="K4" s="22" t="s">
        <v>70</v>
      </c>
      <c r="L4" s="30">
        <f>IF(D4="Hito",M4,'Criterios y alcance'!$B$23+(E4-1)*7)</f>
        <v>46260</v>
      </c>
      <c r="M4" s="30">
        <f>MIN('Criterios y alcance'!$B$23+(F4-1)*7+2,'Criterios y alcance'!$B$24)</f>
        <v>46379</v>
      </c>
    </row>
    <row r="5" spans="1:13" ht="30.95" customHeight="1">
      <c r="A5" s="23">
        <v>2</v>
      </c>
      <c r="B5" s="20" t="s">
        <v>16</v>
      </c>
      <c r="C5" s="20" t="s">
        <v>17</v>
      </c>
      <c r="D5" s="23" t="s">
        <v>6</v>
      </c>
      <c r="E5" s="23">
        <v>1</v>
      </c>
      <c r="F5" s="23">
        <v>1</v>
      </c>
      <c r="G5" s="23">
        <f t="shared" si="0"/>
        <v>1</v>
      </c>
      <c r="H5" s="20" t="s">
        <v>71</v>
      </c>
      <c r="I5" s="23"/>
      <c r="J5" s="23" t="s">
        <v>69</v>
      </c>
      <c r="K5" s="23" t="s">
        <v>70</v>
      </c>
      <c r="L5" s="30">
        <f>IF(D5="Hito",M5,'Criterios y alcance'!$B$23+(E5-1)*7)</f>
        <v>46260</v>
      </c>
      <c r="M5" s="30">
        <f>MIN('Criterios y alcance'!$B$23+(F5-1)*7+2,'Criterios y alcance'!$B$24)</f>
        <v>46262</v>
      </c>
    </row>
    <row r="6" spans="1:13" ht="30.95" customHeight="1">
      <c r="A6" s="23">
        <v>3</v>
      </c>
      <c r="B6" s="20" t="s">
        <v>16</v>
      </c>
      <c r="C6" s="20" t="s">
        <v>18</v>
      </c>
      <c r="D6" s="23" t="s">
        <v>6</v>
      </c>
      <c r="E6" s="23">
        <v>2</v>
      </c>
      <c r="F6" s="23">
        <v>2</v>
      </c>
      <c r="G6" s="23">
        <f t="shared" si="0"/>
        <v>1</v>
      </c>
      <c r="H6" s="20" t="s">
        <v>72</v>
      </c>
      <c r="I6" s="23"/>
      <c r="J6" s="23" t="s">
        <v>69</v>
      </c>
      <c r="K6" s="23" t="s">
        <v>70</v>
      </c>
      <c r="L6" s="30">
        <f>IF(D6="Hito",M6,'Criterios y alcance'!$B$23+(E6-1)*7)</f>
        <v>46267</v>
      </c>
      <c r="M6" s="30">
        <f>MIN('Criterios y alcance'!$B$23+(F6-1)*7+2,'Criterios y alcance'!$B$24)</f>
        <v>46269</v>
      </c>
    </row>
    <row r="7" spans="1:13" ht="30.95" customHeight="1">
      <c r="A7" s="23">
        <v>4</v>
      </c>
      <c r="B7" s="20" t="s">
        <v>16</v>
      </c>
      <c r="C7" s="20" t="s">
        <v>19</v>
      </c>
      <c r="D7" s="23" t="s">
        <v>6</v>
      </c>
      <c r="E7" s="23">
        <v>2</v>
      </c>
      <c r="F7" s="23">
        <v>3</v>
      </c>
      <c r="G7" s="23">
        <f t="shared" si="0"/>
        <v>2</v>
      </c>
      <c r="H7" s="20" t="s">
        <v>73</v>
      </c>
      <c r="I7" s="23"/>
      <c r="J7" s="23" t="s">
        <v>69</v>
      </c>
      <c r="K7" s="23" t="s">
        <v>70</v>
      </c>
      <c r="L7" s="30">
        <f>IF(D7="Hito",M7,'Criterios y alcance'!$B$23+(E7-1)*7)</f>
        <v>46267</v>
      </c>
      <c r="M7" s="30">
        <f>MIN('Criterios y alcance'!$B$23+(F7-1)*7+2,'Criterios y alcance'!$B$24)</f>
        <v>46276</v>
      </c>
    </row>
    <row r="8" spans="1:13" ht="30.95" customHeight="1">
      <c r="A8" s="23">
        <v>5</v>
      </c>
      <c r="B8" s="20" t="s">
        <v>16</v>
      </c>
      <c r="C8" s="20" t="s">
        <v>20</v>
      </c>
      <c r="D8" s="23" t="s">
        <v>6</v>
      </c>
      <c r="E8" s="23">
        <v>3</v>
      </c>
      <c r="F8" s="23">
        <v>4</v>
      </c>
      <c r="G8" s="23">
        <f t="shared" si="0"/>
        <v>2</v>
      </c>
      <c r="H8" s="20" t="s">
        <v>74</v>
      </c>
      <c r="I8" s="23"/>
      <c r="J8" s="23" t="s">
        <v>69</v>
      </c>
      <c r="K8" s="23" t="s">
        <v>70</v>
      </c>
      <c r="L8" s="30">
        <f>IF(D8="Hito",M8,'Criterios y alcance'!$B$23+(E8-1)*7)</f>
        <v>46274</v>
      </c>
      <c r="M8" s="30">
        <f>MIN('Criterios y alcance'!$B$23+(F8-1)*7+2,'Criterios y alcance'!$B$24)</f>
        <v>46283</v>
      </c>
    </row>
    <row r="9" spans="1:13" ht="30.95" customHeight="1">
      <c r="A9" s="23">
        <v>6</v>
      </c>
      <c r="B9" s="20" t="s">
        <v>16</v>
      </c>
      <c r="C9" s="20" t="s">
        <v>21</v>
      </c>
      <c r="D9" s="23" t="s">
        <v>6</v>
      </c>
      <c r="E9" s="23">
        <v>3</v>
      </c>
      <c r="F9" s="23">
        <v>4</v>
      </c>
      <c r="G9" s="23">
        <f t="shared" si="0"/>
        <v>2</v>
      </c>
      <c r="H9" s="20" t="s">
        <v>75</v>
      </c>
      <c r="I9" s="23"/>
      <c r="J9" s="23" t="s">
        <v>69</v>
      </c>
      <c r="K9" s="23" t="s">
        <v>76</v>
      </c>
      <c r="L9" s="30">
        <f>IF(D9="Hito",M9,'Criterios y alcance'!$B$23+(E9-1)*7)</f>
        <v>46274</v>
      </c>
      <c r="M9" s="30">
        <f>MIN('Criterios y alcance'!$B$23+(F9-1)*7+2,'Criterios y alcance'!$B$24)</f>
        <v>46283</v>
      </c>
    </row>
    <row r="10" spans="1:13" ht="30.95" customHeight="1">
      <c r="A10" s="23">
        <v>7</v>
      </c>
      <c r="B10" s="20" t="s">
        <v>22</v>
      </c>
      <c r="C10" s="20" t="s">
        <v>23</v>
      </c>
      <c r="D10" s="23" t="s">
        <v>24</v>
      </c>
      <c r="E10" s="23">
        <v>4</v>
      </c>
      <c r="F10" s="23">
        <v>4</v>
      </c>
      <c r="G10" s="23">
        <f t="shared" si="0"/>
        <v>1</v>
      </c>
      <c r="H10" s="20" t="s">
        <v>77</v>
      </c>
      <c r="I10" s="23"/>
      <c r="J10" s="23" t="s">
        <v>69</v>
      </c>
      <c r="K10" s="23" t="s">
        <v>70</v>
      </c>
      <c r="L10" s="30">
        <f>IF(D10="Hito",M10,'Criterios y alcance'!$B$23+(E10-1)*7)</f>
        <v>46283</v>
      </c>
      <c r="M10" s="30">
        <f>MIN('Criterios y alcance'!$B$23+(F10-1)*7+2,'Criterios y alcance'!$B$24)</f>
        <v>46283</v>
      </c>
    </row>
    <row r="11" spans="1:13" ht="30.95" customHeight="1">
      <c r="A11" s="23">
        <v>8</v>
      </c>
      <c r="B11" s="20" t="s">
        <v>25</v>
      </c>
      <c r="C11" s="20" t="s">
        <v>26</v>
      </c>
      <c r="D11" s="23" t="s">
        <v>6</v>
      </c>
      <c r="E11" s="23">
        <v>5</v>
      </c>
      <c r="F11" s="23">
        <v>6</v>
      </c>
      <c r="G11" s="23">
        <f t="shared" si="0"/>
        <v>2</v>
      </c>
      <c r="H11" s="20" t="s">
        <v>78</v>
      </c>
      <c r="I11" s="23"/>
      <c r="J11" s="23" t="s">
        <v>69</v>
      </c>
      <c r="K11" s="23" t="s">
        <v>70</v>
      </c>
      <c r="L11" s="30">
        <f>IF(D11="Hito",M11,'Criterios y alcance'!$B$23+(E11-1)*7)</f>
        <v>46288</v>
      </c>
      <c r="M11" s="30">
        <f>MIN('Criterios y alcance'!$B$23+(F11-1)*7+2,'Criterios y alcance'!$B$24)</f>
        <v>46297</v>
      </c>
    </row>
    <row r="12" spans="1:13" ht="30.95" customHeight="1">
      <c r="A12" s="23">
        <v>9</v>
      </c>
      <c r="B12" s="20" t="s">
        <v>25</v>
      </c>
      <c r="C12" s="20" t="s">
        <v>27</v>
      </c>
      <c r="D12" s="23" t="s">
        <v>6</v>
      </c>
      <c r="E12" s="23">
        <v>5</v>
      </c>
      <c r="F12" s="23">
        <v>6</v>
      </c>
      <c r="G12" s="23">
        <f t="shared" si="0"/>
        <v>2</v>
      </c>
      <c r="H12" s="20" t="s">
        <v>79</v>
      </c>
      <c r="I12" s="23"/>
      <c r="J12" s="23" t="s">
        <v>69</v>
      </c>
      <c r="K12" s="23" t="s">
        <v>70</v>
      </c>
      <c r="L12" s="30">
        <f>IF(D12="Hito",M12,'Criterios y alcance'!$B$23+(E12-1)*7)</f>
        <v>46288</v>
      </c>
      <c r="M12" s="30">
        <f>MIN('Criterios y alcance'!$B$23+(F12-1)*7+2,'Criterios y alcance'!$B$24)</f>
        <v>46297</v>
      </c>
    </row>
    <row r="13" spans="1:13" ht="30.95" customHeight="1">
      <c r="A13" s="23">
        <v>10</v>
      </c>
      <c r="B13" s="20" t="s">
        <v>25</v>
      </c>
      <c r="C13" s="20" t="s">
        <v>28</v>
      </c>
      <c r="D13" s="23" t="s">
        <v>6</v>
      </c>
      <c r="E13" s="23">
        <v>6</v>
      </c>
      <c r="F13" s="23">
        <v>7</v>
      </c>
      <c r="G13" s="23">
        <f t="shared" si="0"/>
        <v>2</v>
      </c>
      <c r="H13" s="20" t="s">
        <v>80</v>
      </c>
      <c r="I13" s="23"/>
      <c r="J13" s="23" t="s">
        <v>69</v>
      </c>
      <c r="K13" s="23" t="s">
        <v>70</v>
      </c>
      <c r="L13" s="30">
        <f>IF(D13="Hito",M13,'Criterios y alcance'!$B$23+(E13-1)*7)</f>
        <v>46295</v>
      </c>
      <c r="M13" s="30">
        <f>MIN('Criterios y alcance'!$B$23+(F13-1)*7+2,'Criterios y alcance'!$B$24)</f>
        <v>46304</v>
      </c>
    </row>
    <row r="14" spans="1:13" ht="30.95" customHeight="1">
      <c r="A14" s="23">
        <v>11</v>
      </c>
      <c r="B14" s="20" t="s">
        <v>25</v>
      </c>
      <c r="C14" s="20" t="s">
        <v>29</v>
      </c>
      <c r="D14" s="23" t="s">
        <v>6</v>
      </c>
      <c r="E14" s="23">
        <v>6</v>
      </c>
      <c r="F14" s="23">
        <v>7</v>
      </c>
      <c r="G14" s="23">
        <f t="shared" si="0"/>
        <v>2</v>
      </c>
      <c r="H14" s="20" t="s">
        <v>81</v>
      </c>
      <c r="I14" s="23"/>
      <c r="J14" s="23" t="s">
        <v>69</v>
      </c>
      <c r="K14" s="23" t="s">
        <v>70</v>
      </c>
      <c r="L14" s="30">
        <f>IF(D14="Hito",M14,'Criterios y alcance'!$B$23+(E14-1)*7)</f>
        <v>46295</v>
      </c>
      <c r="M14" s="30">
        <f>MIN('Criterios y alcance'!$B$23+(F14-1)*7+2,'Criterios y alcance'!$B$24)</f>
        <v>46304</v>
      </c>
    </row>
    <row r="15" spans="1:13" ht="30.95" customHeight="1">
      <c r="A15" s="23">
        <v>12</v>
      </c>
      <c r="B15" s="20" t="s">
        <v>25</v>
      </c>
      <c r="C15" s="20" t="s">
        <v>30</v>
      </c>
      <c r="D15" s="23" t="s">
        <v>6</v>
      </c>
      <c r="E15" s="23">
        <v>7</v>
      </c>
      <c r="F15" s="23">
        <v>8</v>
      </c>
      <c r="G15" s="23">
        <f t="shared" si="0"/>
        <v>2</v>
      </c>
      <c r="H15" s="20" t="s">
        <v>82</v>
      </c>
      <c r="I15" s="23"/>
      <c r="J15" s="23" t="s">
        <v>69</v>
      </c>
      <c r="K15" s="23" t="s">
        <v>70</v>
      </c>
      <c r="L15" s="30">
        <f>IF(D15="Hito",M15,'Criterios y alcance'!$B$23+(E15-1)*7)</f>
        <v>46302</v>
      </c>
      <c r="M15" s="30">
        <f>MIN('Criterios y alcance'!$B$23+(F15-1)*7+2,'Criterios y alcance'!$B$24)</f>
        <v>46311</v>
      </c>
    </row>
    <row r="16" spans="1:13" ht="30.95" customHeight="1">
      <c r="A16" s="23">
        <v>13</v>
      </c>
      <c r="B16" s="20" t="s">
        <v>22</v>
      </c>
      <c r="C16" s="20" t="s">
        <v>31</v>
      </c>
      <c r="D16" s="23" t="s">
        <v>24</v>
      </c>
      <c r="E16" s="23">
        <v>8</v>
      </c>
      <c r="F16" s="23">
        <v>8</v>
      </c>
      <c r="G16" s="23">
        <f t="shared" si="0"/>
        <v>1</v>
      </c>
      <c r="H16" s="20" t="s">
        <v>83</v>
      </c>
      <c r="I16" s="23"/>
      <c r="J16" s="23" t="s">
        <v>69</v>
      </c>
      <c r="K16" s="23" t="s">
        <v>70</v>
      </c>
      <c r="L16" s="30">
        <f>IF(D16="Hito",M16,'Criterios y alcance'!$B$23+(E16-1)*7)</f>
        <v>46311</v>
      </c>
      <c r="M16" s="30">
        <f>MIN('Criterios y alcance'!$B$23+(F16-1)*7+2,'Criterios y alcance'!$B$24)</f>
        <v>46311</v>
      </c>
    </row>
    <row r="17" spans="1:13" ht="30.95" customHeight="1">
      <c r="A17" s="23">
        <v>14</v>
      </c>
      <c r="B17" s="20" t="s">
        <v>32</v>
      </c>
      <c r="C17" s="20" t="s">
        <v>33</v>
      </c>
      <c r="D17" s="23" t="s">
        <v>6</v>
      </c>
      <c r="E17" s="23">
        <v>8</v>
      </c>
      <c r="F17" s="23">
        <v>9</v>
      </c>
      <c r="G17" s="23">
        <f t="shared" si="0"/>
        <v>2</v>
      </c>
      <c r="H17" s="20" t="s">
        <v>84</v>
      </c>
      <c r="I17" s="23"/>
      <c r="J17" s="23" t="s">
        <v>69</v>
      </c>
      <c r="K17" s="23" t="s">
        <v>70</v>
      </c>
      <c r="L17" s="30">
        <f>IF(D17="Hito",M17,'Criterios y alcance'!$B$23+(E17-1)*7)</f>
        <v>46309</v>
      </c>
      <c r="M17" s="30">
        <f>MIN('Criterios y alcance'!$B$23+(F17-1)*7+2,'Criterios y alcance'!$B$24)</f>
        <v>46318</v>
      </c>
    </row>
    <row r="18" spans="1:13" ht="30.95" customHeight="1">
      <c r="A18" s="23">
        <v>15</v>
      </c>
      <c r="B18" s="20" t="s">
        <v>32</v>
      </c>
      <c r="C18" s="20" t="s">
        <v>34</v>
      </c>
      <c r="D18" s="23" t="s">
        <v>6</v>
      </c>
      <c r="E18" s="23">
        <v>9</v>
      </c>
      <c r="F18" s="23">
        <v>10</v>
      </c>
      <c r="G18" s="23">
        <f t="shared" si="0"/>
        <v>2</v>
      </c>
      <c r="H18" s="20" t="s">
        <v>85</v>
      </c>
      <c r="I18" s="23"/>
      <c r="J18" s="23" t="s">
        <v>69</v>
      </c>
      <c r="K18" s="23" t="s">
        <v>70</v>
      </c>
      <c r="L18" s="30">
        <f>IF(D18="Hito",M18,'Criterios y alcance'!$B$23+(E18-1)*7)</f>
        <v>46316</v>
      </c>
      <c r="M18" s="30">
        <f>MIN('Criterios y alcance'!$B$23+(F18-1)*7+2,'Criterios y alcance'!$B$24)</f>
        <v>46325</v>
      </c>
    </row>
    <row r="19" spans="1:13" ht="30.95" customHeight="1">
      <c r="A19" s="23">
        <v>16</v>
      </c>
      <c r="B19" s="20" t="s">
        <v>32</v>
      </c>
      <c r="C19" s="20" t="s">
        <v>35</v>
      </c>
      <c r="D19" s="23" t="s">
        <v>6</v>
      </c>
      <c r="E19" s="23">
        <v>9</v>
      </c>
      <c r="F19" s="23">
        <v>10</v>
      </c>
      <c r="G19" s="23">
        <f t="shared" si="0"/>
        <v>2</v>
      </c>
      <c r="H19" s="20" t="s">
        <v>86</v>
      </c>
      <c r="I19" s="23"/>
      <c r="J19" s="23" t="s">
        <v>69</v>
      </c>
      <c r="K19" s="23" t="s">
        <v>70</v>
      </c>
      <c r="L19" s="30">
        <f>IF(D19="Hito",M19,'Criterios y alcance'!$B$23+(E19-1)*7)</f>
        <v>46316</v>
      </c>
      <c r="M19" s="30">
        <f>MIN('Criterios y alcance'!$B$23+(F19-1)*7+2,'Criterios y alcance'!$B$24)</f>
        <v>46325</v>
      </c>
    </row>
    <row r="20" spans="1:13" ht="30.95" customHeight="1">
      <c r="A20" s="23">
        <v>17</v>
      </c>
      <c r="B20" s="20" t="s">
        <v>32</v>
      </c>
      <c r="C20" s="20" t="s">
        <v>36</v>
      </c>
      <c r="D20" s="23" t="s">
        <v>6</v>
      </c>
      <c r="E20" s="23">
        <v>10</v>
      </c>
      <c r="F20" s="23">
        <v>11</v>
      </c>
      <c r="G20" s="23">
        <f t="shared" si="0"/>
        <v>2</v>
      </c>
      <c r="H20" s="20" t="s">
        <v>87</v>
      </c>
      <c r="I20" s="23"/>
      <c r="J20" s="23" t="s">
        <v>69</v>
      </c>
      <c r="K20" s="23" t="s">
        <v>70</v>
      </c>
      <c r="L20" s="30">
        <f>IF(D20="Hito",M20,'Criterios y alcance'!$B$23+(E20-1)*7)</f>
        <v>46323</v>
      </c>
      <c r="M20" s="30">
        <f>MIN('Criterios y alcance'!$B$23+(F20-1)*7+2,'Criterios y alcance'!$B$24)</f>
        <v>46332</v>
      </c>
    </row>
    <row r="21" spans="1:13" ht="30.95" customHeight="1">
      <c r="A21" s="23">
        <v>18</v>
      </c>
      <c r="B21" s="20" t="s">
        <v>32</v>
      </c>
      <c r="C21" s="20" t="s">
        <v>37</v>
      </c>
      <c r="D21" s="23" t="s">
        <v>6</v>
      </c>
      <c r="E21" s="23">
        <v>10</v>
      </c>
      <c r="F21" s="23">
        <v>11</v>
      </c>
      <c r="G21" s="23">
        <f t="shared" si="0"/>
        <v>2</v>
      </c>
      <c r="H21" s="20" t="s">
        <v>88</v>
      </c>
      <c r="I21" s="23"/>
      <c r="J21" s="23" t="s">
        <v>69</v>
      </c>
      <c r="K21" s="23" t="s">
        <v>70</v>
      </c>
      <c r="L21" s="30">
        <f>IF(D21="Hito",M21,'Criterios y alcance'!$B$23+(E21-1)*7)</f>
        <v>46323</v>
      </c>
      <c r="M21" s="30">
        <f>MIN('Criterios y alcance'!$B$23+(F21-1)*7+2,'Criterios y alcance'!$B$24)</f>
        <v>46332</v>
      </c>
    </row>
    <row r="22" spans="1:13" ht="30.95" customHeight="1">
      <c r="A22" s="23">
        <v>19</v>
      </c>
      <c r="B22" s="20" t="s">
        <v>32</v>
      </c>
      <c r="C22" s="20" t="s">
        <v>38</v>
      </c>
      <c r="D22" s="23" t="s">
        <v>6</v>
      </c>
      <c r="E22" s="23">
        <v>11</v>
      </c>
      <c r="F22" s="23">
        <v>12</v>
      </c>
      <c r="G22" s="23">
        <f t="shared" si="0"/>
        <v>2</v>
      </c>
      <c r="H22" s="20" t="s">
        <v>89</v>
      </c>
      <c r="I22" s="23"/>
      <c r="J22" s="23" t="s">
        <v>69</v>
      </c>
      <c r="K22" s="23" t="s">
        <v>70</v>
      </c>
      <c r="L22" s="30">
        <f>IF(D22="Hito",M22,'Criterios y alcance'!$B$23+(E22-1)*7)</f>
        <v>46330</v>
      </c>
      <c r="M22" s="30">
        <f>MIN('Criterios y alcance'!$B$23+(F22-1)*7+2,'Criterios y alcance'!$B$24)</f>
        <v>46339</v>
      </c>
    </row>
    <row r="23" spans="1:13" ht="30.95" customHeight="1">
      <c r="A23" s="23">
        <v>20</v>
      </c>
      <c r="B23" s="20" t="s">
        <v>32</v>
      </c>
      <c r="C23" s="20" t="s">
        <v>39</v>
      </c>
      <c r="D23" s="23" t="s">
        <v>6</v>
      </c>
      <c r="E23" s="23">
        <v>10</v>
      </c>
      <c r="F23" s="23">
        <v>12</v>
      </c>
      <c r="G23" s="23">
        <f t="shared" si="0"/>
        <v>3</v>
      </c>
      <c r="H23" s="20" t="s">
        <v>90</v>
      </c>
      <c r="I23" s="23"/>
      <c r="J23" s="23" t="s">
        <v>69</v>
      </c>
      <c r="K23" s="23" t="s">
        <v>76</v>
      </c>
      <c r="L23" s="30">
        <f>IF(D23="Hito",M23,'Criterios y alcance'!$B$23+(E23-1)*7)</f>
        <v>46323</v>
      </c>
      <c r="M23" s="30">
        <f>MIN('Criterios y alcance'!$B$23+(F23-1)*7+2,'Criterios y alcance'!$B$24)</f>
        <v>46339</v>
      </c>
    </row>
    <row r="24" spans="1:13" ht="30.95" customHeight="1">
      <c r="A24" s="23">
        <v>21</v>
      </c>
      <c r="B24" s="20" t="s">
        <v>32</v>
      </c>
      <c r="C24" s="20" t="s">
        <v>40</v>
      </c>
      <c r="D24" s="23" t="s">
        <v>6</v>
      </c>
      <c r="E24" s="23">
        <v>11</v>
      </c>
      <c r="F24" s="23">
        <v>12</v>
      </c>
      <c r="G24" s="23">
        <f t="shared" si="0"/>
        <v>2</v>
      </c>
      <c r="H24" s="20" t="s">
        <v>91</v>
      </c>
      <c r="I24" s="23"/>
      <c r="J24" s="23" t="s">
        <v>69</v>
      </c>
      <c r="K24" s="23" t="s">
        <v>70</v>
      </c>
      <c r="L24" s="30">
        <f>IF(D24="Hito",M24,'Criterios y alcance'!$B$23+(E24-1)*7)</f>
        <v>46330</v>
      </c>
      <c r="M24" s="30">
        <f>MIN('Criterios y alcance'!$B$23+(F24-1)*7+2,'Criterios y alcance'!$B$24)</f>
        <v>46339</v>
      </c>
    </row>
    <row r="25" spans="1:13" ht="30.95" customHeight="1">
      <c r="A25" s="23">
        <v>22</v>
      </c>
      <c r="B25" s="20" t="s">
        <v>22</v>
      </c>
      <c r="C25" s="20" t="s">
        <v>41</v>
      </c>
      <c r="D25" s="23" t="s">
        <v>24</v>
      </c>
      <c r="E25" s="23">
        <v>12</v>
      </c>
      <c r="F25" s="23">
        <v>12</v>
      </c>
      <c r="G25" s="23">
        <f t="shared" si="0"/>
        <v>1</v>
      </c>
      <c r="H25" s="20" t="s">
        <v>92</v>
      </c>
      <c r="I25" s="23"/>
      <c r="J25" s="23" t="s">
        <v>69</v>
      </c>
      <c r="K25" s="23" t="s">
        <v>70</v>
      </c>
      <c r="L25" s="30">
        <f>IF(D25="Hito",M25,'Criterios y alcance'!$B$23+(E25-1)*7)</f>
        <v>46339</v>
      </c>
      <c r="M25" s="30">
        <f>MIN('Criterios y alcance'!$B$23+(F25-1)*7+2,'Criterios y alcance'!$B$24)</f>
        <v>46339</v>
      </c>
    </row>
    <row r="26" spans="1:13" ht="30.95" customHeight="1">
      <c r="A26" s="23">
        <v>23</v>
      </c>
      <c r="B26" s="20" t="s">
        <v>42</v>
      </c>
      <c r="C26" s="20" t="s">
        <v>43</v>
      </c>
      <c r="D26" s="23" t="s">
        <v>6</v>
      </c>
      <c r="E26" s="23">
        <v>12</v>
      </c>
      <c r="F26" s="23">
        <v>13</v>
      </c>
      <c r="G26" s="23">
        <f t="shared" si="0"/>
        <v>2</v>
      </c>
      <c r="H26" s="20" t="s">
        <v>93</v>
      </c>
      <c r="I26" s="23"/>
      <c r="J26" s="23" t="s">
        <v>69</v>
      </c>
      <c r="K26" s="23" t="s">
        <v>76</v>
      </c>
      <c r="L26" s="30">
        <f>IF(D26="Hito",M26,'Criterios y alcance'!$B$23+(E26-1)*7)</f>
        <v>46337</v>
      </c>
      <c r="M26" s="30">
        <f>MIN('Criterios y alcance'!$B$23+(F26-1)*7+2,'Criterios y alcance'!$B$24)</f>
        <v>46346</v>
      </c>
    </row>
    <row r="27" spans="1:13" ht="30.95" customHeight="1">
      <c r="A27" s="23">
        <v>24</v>
      </c>
      <c r="B27" s="20" t="s">
        <v>42</v>
      </c>
      <c r="C27" s="20" t="s">
        <v>44</v>
      </c>
      <c r="D27" s="23" t="s">
        <v>6</v>
      </c>
      <c r="E27" s="23">
        <v>12</v>
      </c>
      <c r="F27" s="23">
        <v>13</v>
      </c>
      <c r="G27" s="23">
        <f t="shared" si="0"/>
        <v>2</v>
      </c>
      <c r="H27" s="20" t="s">
        <v>94</v>
      </c>
      <c r="I27" s="23"/>
      <c r="J27" s="23" t="s">
        <v>69</v>
      </c>
      <c r="K27" s="23" t="s">
        <v>70</v>
      </c>
      <c r="L27" s="30">
        <f>IF(D27="Hito",M27,'Criterios y alcance'!$B$23+(E27-1)*7)</f>
        <v>46337</v>
      </c>
      <c r="M27" s="30">
        <f>MIN('Criterios y alcance'!$B$23+(F27-1)*7+2,'Criterios y alcance'!$B$24)</f>
        <v>46346</v>
      </c>
    </row>
    <row r="28" spans="1:13" ht="30.95" customHeight="1">
      <c r="A28" s="23">
        <v>25</v>
      </c>
      <c r="B28" s="20" t="s">
        <v>45</v>
      </c>
      <c r="C28" s="20" t="s">
        <v>46</v>
      </c>
      <c r="D28" s="23" t="s">
        <v>6</v>
      </c>
      <c r="E28" s="23">
        <v>9</v>
      </c>
      <c r="F28" s="23">
        <v>13</v>
      </c>
      <c r="G28" s="23">
        <f t="shared" si="0"/>
        <v>5</v>
      </c>
      <c r="H28" s="20" t="s">
        <v>95</v>
      </c>
      <c r="I28" s="23"/>
      <c r="J28" s="23" t="s">
        <v>69</v>
      </c>
      <c r="K28" s="23" t="s">
        <v>70</v>
      </c>
      <c r="L28" s="30">
        <f>IF(D28="Hito",M28,'Criterios y alcance'!$B$23+(E28-1)*7)</f>
        <v>46316</v>
      </c>
      <c r="M28" s="30">
        <f>MIN('Criterios y alcance'!$B$23+(F28-1)*7+2,'Criterios y alcance'!$B$24)</f>
        <v>46346</v>
      </c>
    </row>
    <row r="29" spans="1:13" ht="30.95" customHeight="1">
      <c r="A29" s="23">
        <v>26</v>
      </c>
      <c r="B29" s="20" t="s">
        <v>42</v>
      </c>
      <c r="C29" s="20" t="s">
        <v>47</v>
      </c>
      <c r="D29" s="23" t="s">
        <v>6</v>
      </c>
      <c r="E29" s="23">
        <v>13</v>
      </c>
      <c r="F29" s="23">
        <v>14</v>
      </c>
      <c r="G29" s="23">
        <f t="shared" si="0"/>
        <v>2</v>
      </c>
      <c r="H29" s="20" t="s">
        <v>96</v>
      </c>
      <c r="I29" s="23"/>
      <c r="J29" s="23" t="s">
        <v>69</v>
      </c>
      <c r="K29" s="23" t="s">
        <v>97</v>
      </c>
      <c r="L29" s="30">
        <f>IF(D29="Hito",M29,'Criterios y alcance'!$B$23+(E29-1)*7)</f>
        <v>46344</v>
      </c>
      <c r="M29" s="30">
        <f>MIN('Criterios y alcance'!$B$23+(F29-1)*7+2,'Criterios y alcance'!$B$24)</f>
        <v>46353</v>
      </c>
    </row>
    <row r="30" spans="1:13" ht="30.95" customHeight="1">
      <c r="A30" s="23">
        <v>27</v>
      </c>
      <c r="B30" s="20" t="s">
        <v>48</v>
      </c>
      <c r="C30" s="20" t="s">
        <v>49</v>
      </c>
      <c r="D30" s="23" t="s">
        <v>6</v>
      </c>
      <c r="E30" s="23">
        <v>14</v>
      </c>
      <c r="F30" s="23">
        <v>14</v>
      </c>
      <c r="G30" s="23">
        <f t="shared" si="0"/>
        <v>1</v>
      </c>
      <c r="H30" s="20" t="s">
        <v>98</v>
      </c>
      <c r="I30" s="23"/>
      <c r="J30" s="23" t="s">
        <v>69</v>
      </c>
      <c r="K30" s="23" t="s">
        <v>70</v>
      </c>
      <c r="L30" s="30">
        <f>IF(D30="Hito",M30,'Criterios y alcance'!$B$23+(E30-1)*7)</f>
        <v>46351</v>
      </c>
      <c r="M30" s="30">
        <f>MIN('Criterios y alcance'!$B$23+(F30-1)*7+2,'Criterios y alcance'!$B$24)</f>
        <v>46353</v>
      </c>
    </row>
    <row r="31" spans="1:13" ht="30.95" customHeight="1">
      <c r="A31" s="23">
        <v>28</v>
      </c>
      <c r="B31" s="20" t="s">
        <v>50</v>
      </c>
      <c r="C31" s="20" t="s">
        <v>51</v>
      </c>
      <c r="D31" s="23" t="s">
        <v>6</v>
      </c>
      <c r="E31" s="23">
        <v>14</v>
      </c>
      <c r="F31" s="23">
        <v>15</v>
      </c>
      <c r="G31" s="23">
        <f t="shared" si="0"/>
        <v>2</v>
      </c>
      <c r="H31" s="20" t="s">
        <v>99</v>
      </c>
      <c r="I31" s="23"/>
      <c r="J31" s="23" t="s">
        <v>69</v>
      </c>
      <c r="K31" s="23" t="s">
        <v>70</v>
      </c>
      <c r="L31" s="30">
        <f>IF(D31="Hito",M31,'Criterios y alcance'!$B$23+(E31-1)*7)</f>
        <v>46351</v>
      </c>
      <c r="M31" s="30">
        <f>MIN('Criterios y alcance'!$B$23+(F31-1)*7+2,'Criterios y alcance'!$B$24)</f>
        <v>46360</v>
      </c>
    </row>
    <row r="32" spans="1:13" ht="30.95" customHeight="1">
      <c r="A32" s="23">
        <v>29</v>
      </c>
      <c r="B32" s="20" t="s">
        <v>52</v>
      </c>
      <c r="C32" s="20" t="s">
        <v>53</v>
      </c>
      <c r="D32" s="23" t="s">
        <v>6</v>
      </c>
      <c r="E32" s="23">
        <v>15</v>
      </c>
      <c r="F32" s="23">
        <v>16</v>
      </c>
      <c r="G32" s="23">
        <f t="shared" si="0"/>
        <v>2</v>
      </c>
      <c r="H32" s="20" t="s">
        <v>100</v>
      </c>
      <c r="I32" s="23"/>
      <c r="J32" s="23" t="s">
        <v>69</v>
      </c>
      <c r="K32" s="23" t="s">
        <v>76</v>
      </c>
      <c r="L32" s="30">
        <f>IF(D32="Hito",M32,'Criterios y alcance'!$B$23+(E32-1)*7)</f>
        <v>46358</v>
      </c>
      <c r="M32" s="30">
        <f>MIN('Criterios y alcance'!$B$23+(F32-1)*7+2,'Criterios y alcance'!$B$24)</f>
        <v>46367</v>
      </c>
    </row>
    <row r="33" spans="1:13" ht="30.95" customHeight="1">
      <c r="A33" s="23">
        <v>30</v>
      </c>
      <c r="B33" s="20" t="s">
        <v>52</v>
      </c>
      <c r="C33" s="20" t="s">
        <v>54</v>
      </c>
      <c r="D33" s="23" t="s">
        <v>6</v>
      </c>
      <c r="E33" s="23">
        <v>16</v>
      </c>
      <c r="F33" s="23">
        <v>17</v>
      </c>
      <c r="G33" s="23">
        <f t="shared" si="0"/>
        <v>2</v>
      </c>
      <c r="H33" s="20" t="s">
        <v>101</v>
      </c>
      <c r="I33" s="23"/>
      <c r="J33" s="23" t="s">
        <v>69</v>
      </c>
      <c r="K33" s="23" t="s">
        <v>76</v>
      </c>
      <c r="L33" s="30">
        <f>IF(D33="Hito",M33,'Criterios y alcance'!$B$23+(E33-1)*7)</f>
        <v>46365</v>
      </c>
      <c r="M33" s="30">
        <f>MIN('Criterios y alcance'!$B$23+(F33-1)*7+2,'Criterios y alcance'!$B$24)</f>
        <v>46374</v>
      </c>
    </row>
    <row r="34" spans="1:13" ht="30.95" customHeight="1">
      <c r="A34" s="23">
        <v>31</v>
      </c>
      <c r="B34" s="20" t="s">
        <v>55</v>
      </c>
      <c r="C34" s="20" t="s">
        <v>56</v>
      </c>
      <c r="D34" s="23" t="s">
        <v>6</v>
      </c>
      <c r="E34" s="23">
        <v>16</v>
      </c>
      <c r="F34" s="23">
        <v>17</v>
      </c>
      <c r="G34" s="23">
        <f t="shared" si="0"/>
        <v>2</v>
      </c>
      <c r="H34" s="20" t="s">
        <v>102</v>
      </c>
      <c r="I34" s="23"/>
      <c r="J34" s="23" t="s">
        <v>69</v>
      </c>
      <c r="K34" s="23" t="s">
        <v>70</v>
      </c>
      <c r="L34" s="30">
        <f>IF(D34="Hito",M34,'Criterios y alcance'!$B$23+(E34-1)*7)</f>
        <v>46365</v>
      </c>
      <c r="M34" s="30">
        <f>MIN('Criterios y alcance'!$B$23+(F34-1)*7+2,'Criterios y alcance'!$B$24)</f>
        <v>46374</v>
      </c>
    </row>
    <row r="35" spans="1:13" ht="30.95" customHeight="1">
      <c r="A35" s="23">
        <v>32</v>
      </c>
      <c r="B35" s="20" t="s">
        <v>55</v>
      </c>
      <c r="C35" s="20" t="s">
        <v>57</v>
      </c>
      <c r="D35" s="23" t="s">
        <v>6</v>
      </c>
      <c r="E35" s="23">
        <v>15</v>
      </c>
      <c r="F35" s="23">
        <v>17</v>
      </c>
      <c r="G35" s="23">
        <f t="shared" si="0"/>
        <v>3</v>
      </c>
      <c r="H35" s="20" t="s">
        <v>103</v>
      </c>
      <c r="I35" s="23"/>
      <c r="J35" s="23" t="s">
        <v>69</v>
      </c>
      <c r="K35" s="23" t="s">
        <v>70</v>
      </c>
      <c r="L35" s="30">
        <f>IF(D35="Hito",M35,'Criterios y alcance'!$B$23+(E35-1)*7)</f>
        <v>46358</v>
      </c>
      <c r="M35" s="30">
        <f>MIN('Criterios y alcance'!$B$23+(F35-1)*7+2,'Criterios y alcance'!$B$24)</f>
        <v>46374</v>
      </c>
    </row>
    <row r="36" spans="1:13" ht="30.95" customHeight="1">
      <c r="A36" s="23">
        <v>33</v>
      </c>
      <c r="B36" s="20" t="s">
        <v>55</v>
      </c>
      <c r="C36" s="20" t="s">
        <v>58</v>
      </c>
      <c r="D36" s="23" t="s">
        <v>6</v>
      </c>
      <c r="E36" s="23">
        <v>17</v>
      </c>
      <c r="F36" s="23">
        <v>18</v>
      </c>
      <c r="G36" s="23">
        <f t="shared" si="0"/>
        <v>2</v>
      </c>
      <c r="H36" s="20" t="s">
        <v>104</v>
      </c>
      <c r="I36" s="23"/>
      <c r="J36" s="23" t="s">
        <v>69</v>
      </c>
      <c r="K36" s="23" t="s">
        <v>70</v>
      </c>
      <c r="L36" s="30">
        <f>IF(D36="Hito",M36,'Criterios y alcance'!$B$23+(E36-1)*7)</f>
        <v>46372</v>
      </c>
      <c r="M36" s="30">
        <f>MIN('Criterios y alcance'!$B$23+(F36-1)*7+2,'Criterios y alcance'!$B$24)</f>
        <v>46379</v>
      </c>
    </row>
    <row r="37" spans="1:13" ht="30.95" customHeight="1">
      <c r="A37" s="24">
        <v>34</v>
      </c>
      <c r="B37" s="21" t="s">
        <v>22</v>
      </c>
      <c r="C37" s="21" t="s">
        <v>59</v>
      </c>
      <c r="D37" s="24" t="s">
        <v>24</v>
      </c>
      <c r="E37" s="24">
        <v>18</v>
      </c>
      <c r="F37" s="24">
        <v>18</v>
      </c>
      <c r="G37" s="24">
        <f t="shared" si="0"/>
        <v>1</v>
      </c>
      <c r="H37" s="21" t="s">
        <v>105</v>
      </c>
      <c r="I37" s="24"/>
      <c r="J37" s="24" t="s">
        <v>69</v>
      </c>
      <c r="K37" s="24" t="s">
        <v>70</v>
      </c>
      <c r="L37" s="30">
        <f>IF(D37="Hito",M37,'Criterios y alcance'!$B$23+(E37-1)*7)</f>
        <v>46379</v>
      </c>
      <c r="M37" s="30">
        <f>MIN('Criterios y alcance'!$B$23+(F37-1)*7+2,'Criterios y alcance'!$B$24)</f>
        <v>46379</v>
      </c>
    </row>
  </sheetData>
  <mergeCells count="1">
    <mergeCell ref="A1:K1"/>
  </mergeCells>
  <conditionalFormatting sqref="J4:J37">
    <cfRule type="containsText" dxfId="3" priority="1" operator="containsText" text="Completado"/>
    <cfRule type="containsText" dxfId="2" priority="2" operator="containsText" text="En curso"/>
    <cfRule type="containsText" dxfId="1" priority="3" operator="containsText" text="Bloqueado"/>
  </conditionalFormatting>
  <conditionalFormatting sqref="K4:K37">
    <cfRule type="containsText" dxfId="0" priority="4" operator="containsText" text="Alta"/>
  </conditionalFormatting>
  <dataValidations count="4">
    <dataValidation type="whole" sqref="E4:F37" xr:uid="{00000000-0002-0000-0100-000000000000}">
      <formula1>1</formula1>
      <formula2>18</formula2>
    </dataValidation>
    <dataValidation type="list" sqref="I4:I37" xr:uid="{00000000-0002-0000-0100-000001000000}">
      <formula1>"Integrante 1,Integrante 2,Integrante 3,Equipo completo,Por asignar"</formula1>
    </dataValidation>
    <dataValidation type="list" sqref="J4:J37" xr:uid="{00000000-0002-0000-0100-000002000000}">
      <formula1>"No iniciado,En curso,Completado,Bloqueado"</formula1>
    </dataValidation>
    <dataValidation type="list" sqref="K4:K37" xr:uid="{00000000-0002-0000-0100-000003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showGridLines="0" workbookViewId="0"/>
  </sheetViews>
  <sheetFormatPr baseColWidth="10" defaultColWidth="9" defaultRowHeight="14.25"/>
  <cols>
    <col min="1" max="1" width="26" customWidth="1"/>
    <col min="2" max="2" width="65" customWidth="1"/>
    <col min="3" max="3" width="4" customWidth="1"/>
    <col min="4" max="6" width="18" customWidth="1"/>
  </cols>
  <sheetData>
    <row r="1" spans="1:6" ht="19.5">
      <c r="A1" s="39" t="s">
        <v>106</v>
      </c>
      <c r="B1" s="39"/>
      <c r="C1" s="39"/>
      <c r="D1" s="39"/>
      <c r="E1" s="39"/>
      <c r="F1" s="39"/>
    </row>
    <row r="2" spans="1:6" ht="15">
      <c r="D2" s="36" t="s">
        <v>107</v>
      </c>
      <c r="E2" s="36"/>
      <c r="F2" s="36"/>
    </row>
    <row r="3" spans="1:6" ht="15">
      <c r="A3" s="17" t="s">
        <v>24</v>
      </c>
      <c r="B3" s="17" t="s">
        <v>108</v>
      </c>
      <c r="D3" s="1" t="s">
        <v>108</v>
      </c>
      <c r="E3" s="1" t="s">
        <v>109</v>
      </c>
    </row>
    <row r="4" spans="1:6">
      <c r="A4" s="25" t="s">
        <v>110</v>
      </c>
      <c r="B4" s="25">
        <v>4</v>
      </c>
      <c r="D4">
        <v>10</v>
      </c>
      <c r="E4" s="26">
        <v>0.3</v>
      </c>
    </row>
    <row r="5" spans="1:6">
      <c r="A5" s="25" t="s">
        <v>111</v>
      </c>
      <c r="B5" s="25">
        <v>8</v>
      </c>
      <c r="D5">
        <v>11</v>
      </c>
      <c r="E5" s="26">
        <v>0.4</v>
      </c>
    </row>
    <row r="6" spans="1:6">
      <c r="A6" s="25" t="s">
        <v>112</v>
      </c>
      <c r="B6" s="25">
        <v>12</v>
      </c>
      <c r="D6">
        <v>13</v>
      </c>
      <c r="E6" s="26">
        <v>0.6</v>
      </c>
    </row>
    <row r="7" spans="1:6">
      <c r="A7" s="25" t="s">
        <v>113</v>
      </c>
      <c r="B7" s="25">
        <v>18</v>
      </c>
      <c r="D7">
        <v>14</v>
      </c>
      <c r="E7" s="26">
        <v>0.7</v>
      </c>
    </row>
    <row r="8" spans="1:6">
      <c r="D8">
        <v>15</v>
      </c>
      <c r="E8" s="26">
        <v>0.8</v>
      </c>
    </row>
    <row r="9" spans="1:6">
      <c r="D9">
        <v>16</v>
      </c>
      <c r="E9" s="26">
        <v>0.9</v>
      </c>
    </row>
    <row r="10" spans="1:6">
      <c r="D10">
        <v>17</v>
      </c>
      <c r="E10" s="26">
        <v>1</v>
      </c>
    </row>
    <row r="12" spans="1:6" ht="15">
      <c r="A12" s="35" t="s">
        <v>114</v>
      </c>
      <c r="B12" s="35"/>
      <c r="C12" s="35"/>
      <c r="D12" s="35"/>
      <c r="E12" s="35"/>
      <c r="F12" s="35"/>
    </row>
    <row r="13" spans="1:6" ht="42" customHeight="1">
      <c r="A13" s="27" t="s">
        <v>115</v>
      </c>
      <c r="B13" s="5" t="s">
        <v>116</v>
      </c>
    </row>
    <row r="14" spans="1:6" ht="42" customHeight="1">
      <c r="A14" s="28" t="s">
        <v>117</v>
      </c>
      <c r="B14" s="6" t="s">
        <v>118</v>
      </c>
    </row>
    <row r="15" spans="1:6" ht="42" customHeight="1">
      <c r="A15" s="28" t="s">
        <v>119</v>
      </c>
      <c r="B15" s="6" t="s">
        <v>120</v>
      </c>
    </row>
    <row r="16" spans="1:6" ht="42" customHeight="1">
      <c r="A16" s="29" t="s">
        <v>121</v>
      </c>
      <c r="B16" s="7" t="s">
        <v>122</v>
      </c>
    </row>
    <row r="19" spans="1:6" ht="15">
      <c r="A19" s="35" t="s">
        <v>123</v>
      </c>
      <c r="B19" s="35"/>
      <c r="C19" s="35"/>
      <c r="D19" s="35"/>
      <c r="E19" s="35"/>
      <c r="F19" s="35"/>
    </row>
    <row r="20" spans="1:6">
      <c r="A20" s="40" t="s">
        <v>124</v>
      </c>
      <c r="B20" s="40"/>
      <c r="C20" s="40"/>
      <c r="D20" s="40"/>
      <c r="E20" s="40"/>
      <c r="F20" s="40"/>
    </row>
    <row r="21" spans="1:6">
      <c r="A21" s="40" t="s">
        <v>125</v>
      </c>
      <c r="B21" s="40"/>
      <c r="C21" s="40"/>
      <c r="D21" s="40"/>
      <c r="E21" s="40"/>
      <c r="F21" s="40"/>
    </row>
    <row r="23" spans="1:6">
      <c r="A23" t="s">
        <v>126</v>
      </c>
      <c r="B23" s="30">
        <v>46260</v>
      </c>
    </row>
    <row r="24" spans="1:6">
      <c r="A24" t="s">
        <v>127</v>
      </c>
      <c r="B24" s="30">
        <v>46379</v>
      </c>
    </row>
    <row r="26" spans="1:6">
      <c r="A26" s="40" t="s">
        <v>128</v>
      </c>
      <c r="B26" s="40"/>
    </row>
    <row r="27" spans="1:6">
      <c r="A27" s="38" t="s">
        <v>129</v>
      </c>
      <c r="B27" s="38"/>
    </row>
    <row r="28" spans="1:6">
      <c r="A28" s="38"/>
      <c r="B28" s="38"/>
    </row>
    <row r="30" spans="1:6">
      <c r="A30" s="38" t="s">
        <v>130</v>
      </c>
      <c r="B30" s="38"/>
    </row>
    <row r="31" spans="1:6">
      <c r="A31" s="38"/>
      <c r="B31" s="38"/>
    </row>
  </sheetData>
  <mergeCells count="9">
    <mergeCell ref="A21:F21"/>
    <mergeCell ref="A26:B26"/>
    <mergeCell ref="A27:B28"/>
    <mergeCell ref="A30:B31"/>
    <mergeCell ref="A1:F1"/>
    <mergeCell ref="D2:F2"/>
    <mergeCell ref="A12:F12"/>
    <mergeCell ref="A19:F19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 18 semanas</vt:lpstr>
      <vt:lpstr>Detalle editable</vt:lpstr>
      <vt:lpstr>Criterios y alcance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HERBERT ALAIN GADEA MENDOZA</cp:lastModifiedBy>
  <dcterms:modified xsi:type="dcterms:W3CDTF">2026-09-04T17:40:46Z</dcterms:modified>
</cp:coreProperties>
</file>